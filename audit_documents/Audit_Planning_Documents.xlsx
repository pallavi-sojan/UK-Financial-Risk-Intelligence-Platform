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llavisojan/Documents/Finance Project/excel_models/"/>
    </mc:Choice>
  </mc:AlternateContent>
  <xr:revisionPtr revIDLastSave="0" documentId="13_ncr:1_{CA8D43E2-BF2E-EF4D-8409-B7650EB6436E}" xr6:coauthVersionLast="47" xr6:coauthVersionMax="47" xr10:uidLastSave="{00000000-0000-0000-0000-000000000000}"/>
  <bookViews>
    <workbookView xWindow="680" yWindow="660" windowWidth="28040" windowHeight="16940" activeTab="1" xr2:uid="{8DAF4F7D-AC98-364A-9803-607FC8EFCBB5}"/>
  </bookViews>
  <sheets>
    <sheet name="AUDIT_UNIVERSE" sheetId="1" r:id="rId1"/>
    <sheet name="ANNUAL_AUDIT_PLAN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3" l="1"/>
</calcChain>
</file>

<file path=xl/sharedStrings.xml><?xml version="1.0" encoding="utf-8"?>
<sst xmlns="http://schemas.openxmlformats.org/spreadsheetml/2006/main" count="240" uniqueCount="110">
  <si>
    <t>CALEDONIA BANK PLC — INTERNAL AUDIT UNIVERSE FY2025</t>
  </si>
  <si>
    <t>Standards: IIA Global Internal Audit Standards (January 2025) | UK Internal Audit Code of Practice (January 2025)</t>
  </si>
  <si>
    <t>AUDIT UNIVERSE</t>
  </si>
  <si>
    <t>AUDIT ENTITY</t>
  </si>
  <si>
    <t>CATEGORY</t>
  </si>
  <si>
    <t>RISK RATING</t>
  </si>
  <si>
    <t>LAST AUDITED</t>
  </si>
  <si>
    <t>FREQUENCY</t>
  </si>
  <si>
    <t>NEXT DUE</t>
  </si>
  <si>
    <t>OWNER</t>
  </si>
  <si>
    <t>REGULATORY REQUIREMENT</t>
  </si>
  <si>
    <t>Financial Reporting &amp; Close Process</t>
  </si>
  <si>
    <t>Finance</t>
  </si>
  <si>
    <t>HIGH</t>
  </si>
  <si>
    <t>Q1 2024</t>
  </si>
  <si>
    <t>Annual</t>
  </si>
  <si>
    <t>Q1 2025</t>
  </si>
  <si>
    <t>CFO</t>
  </si>
  <si>
    <t>FCA DTR</t>
  </si>
  <si>
    <t>Credit Risk Model Validation</t>
  </si>
  <si>
    <t>Credit Risk</t>
  </si>
  <si>
    <t>Q2 2023</t>
  </si>
  <si>
    <t>Q2 2025</t>
  </si>
  <si>
    <t>CRO</t>
  </si>
  <si>
    <t>PRA SS1/23</t>
  </si>
  <si>
    <t>AML &amp; KYC Compliance</t>
  </si>
  <si>
    <t>Financial Crime</t>
  </si>
  <si>
    <t>Q3 2024</t>
  </si>
  <si>
    <t>Q3 2025</t>
  </si>
  <si>
    <t>MLRO</t>
  </si>
  <si>
    <t>MLR 2017</t>
  </si>
  <si>
    <t>Regulatory Reporting PRA/FCA</t>
  </si>
  <si>
    <t>Regulatory</t>
  </si>
  <si>
    <t>CRR/COREP</t>
  </si>
  <si>
    <t>IFRS 9 Impairment Methodology</t>
  </si>
  <si>
    <t>IFRS 9</t>
  </si>
  <si>
    <t>IT General Controls &amp; Cybersecurity</t>
  </si>
  <si>
    <t>Technology</t>
  </si>
  <si>
    <t>Q4 2023</t>
  </si>
  <si>
    <t>Q4 2025</t>
  </si>
  <si>
    <t>CTO</t>
  </si>
  <si>
    <t>FCA SYSC</t>
  </si>
  <si>
    <t>Consumer Duty Compliance</t>
  </si>
  <si>
    <t>Q4 2024</t>
  </si>
  <si>
    <t>CCO</t>
  </si>
  <si>
    <t>FCA PS22/9</t>
  </si>
  <si>
    <t>Data Governance &amp; Quality</t>
  </si>
  <si>
    <t>Operations</t>
  </si>
  <si>
    <t>COO</t>
  </si>
  <si>
    <t>Operational Resilience</t>
  </si>
  <si>
    <t>Q3 2023</t>
  </si>
  <si>
    <t>PRA SS1/21</t>
  </si>
  <si>
    <t>Capital Adequacy ICAAP</t>
  </si>
  <si>
    <t>Capital</t>
  </si>
  <si>
    <t>PRA SS31/15</t>
  </si>
  <si>
    <t>Mortgage Origination Process</t>
  </si>
  <si>
    <t>MEDIUM</t>
  </si>
  <si>
    <t>Biennial</t>
  </si>
  <si>
    <t>PRA</t>
  </si>
  <si>
    <t>Liquidity Management ILAAP</t>
  </si>
  <si>
    <t>Q1 2026</t>
  </si>
  <si>
    <t>PRA SS24/15</t>
  </si>
  <si>
    <t>Third Party Vendor Management</t>
  </si>
  <si>
    <t>HR &amp; Payroll Controls</t>
  </si>
  <si>
    <t>HR</t>
  </si>
  <si>
    <t>CHRO</t>
  </si>
  <si>
    <t>Internal</t>
  </si>
  <si>
    <t>Branch Operations</t>
  </si>
  <si>
    <t>Treasury &amp; Market Risk</t>
  </si>
  <si>
    <t>Market Risk</t>
  </si>
  <si>
    <t>LOW</t>
  </si>
  <si>
    <t>Every 3 years</t>
  </si>
  <si>
    <t>Q1 2027</t>
  </si>
  <si>
    <t>Customer Complaints Handling</t>
  </si>
  <si>
    <t>Conduct</t>
  </si>
  <si>
    <t>Q2 2026</t>
  </si>
  <si>
    <t>FCA DISP</t>
  </si>
  <si>
    <t>Business Continuity Planning</t>
  </si>
  <si>
    <t>Q3 2026</t>
  </si>
  <si>
    <t>Physical Security</t>
  </si>
  <si>
    <t>Q4 2022</t>
  </si>
  <si>
    <t>Staff Training &amp; Development</t>
  </si>
  <si>
    <t>Q1 2023</t>
  </si>
  <si>
    <t>Procurement Controls</t>
  </si>
  <si>
    <t>Corporate Governance</t>
  </si>
  <si>
    <t>Governance</t>
  </si>
  <si>
    <t>CEO</t>
  </si>
  <si>
    <t>Facilities Management</t>
  </si>
  <si>
    <t>Marketing &amp; Communications</t>
  </si>
  <si>
    <t>CMO</t>
  </si>
  <si>
    <t>Internal Audit Function QA</t>
  </si>
  <si>
    <t>CAE</t>
  </si>
  <si>
    <t>IIA Standards</t>
  </si>
  <si>
    <t>CALEDONIA BANK PLC — INTERNAL AUDIT ANNUAL PLAN FY2025</t>
  </si>
  <si>
    <t>FY2025 AUDIT PLAN — GANTT VIEW</t>
  </si>
  <si>
    <t>AUDIT</t>
  </si>
  <si>
    <t>LEAD AUDITOR</t>
  </si>
  <si>
    <t>Q1 JAN-MAR</t>
  </si>
  <si>
    <t>Q2 APR-JUN</t>
  </si>
  <si>
    <t>Q3 JUL-SEP</t>
  </si>
  <si>
    <t>Q4 OCT-DEC</t>
  </si>
  <si>
    <t>DAYS</t>
  </si>
  <si>
    <t>Data Governance &amp; Reporting Controls</t>
  </si>
  <si>
    <t>Pallavi Sojan</t>
  </si>
  <si>
    <t>IN PROGRESS</t>
  </si>
  <si>
    <t>PLANNED</t>
  </si>
  <si>
    <t>AML &amp; Financial Crime Compliance</t>
  </si>
  <si>
    <t>Consumer Duty Embedding Review</t>
  </si>
  <si>
    <t>Coverage note: Annual plan covers 4 of 10 High-risk audit entities (40% coverage). Remaining High-risk entities under continuous monitoring programme. Consistent with IIA Global Standards 2025 and UK Internal Audit Code of Practice January 2025 risk-based planning requirements.</t>
  </si>
  <si>
    <t>TOTAL AUDIT DAYS FY2025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</si>
</sst>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4"/>
      <color theme="1"/>
      <name val="-webkit-standard"/>
    </font>
    <font>
      <b/>
      <i/>
      <sz val="12"/>
      <color theme="1" tint="0.34998626667073579"/>
      <name val="Calibri"/>
      <family val="2"/>
      <scheme val="minor"/>
    </font>
    <font>
      <sz val="12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5" fillId="0" borderId="0" xfId="0" applyFont="1" applyAlignment="1">
      <alignment horizontal="left" vertical="center" wrapText="1"/>
    </xf>
    <xf numFmtId="0" fontId="6" fillId="2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653F0-1ADC-F24A-B85A-BB6F8C979509}">
  <dimension ref="A1:H42"/>
  <sheetViews>
    <sheetView workbookViewId="0">
      <pane ySplit="5" topLeftCell="A6" activePane="bottomLeft" state="frozen"/>
      <selection pane="bottomLeft" activeCell="H12" sqref="H12"/>
    </sheetView>
  </sheetViews>
  <sheetFormatPr baseColWidth="10" defaultRowHeight="16"/>
  <cols>
    <col min="1" max="1" width="33.6640625" customWidth="1"/>
    <col min="2" max="2" width="15.1640625" customWidth="1"/>
    <col min="3" max="3" width="15.83203125" customWidth="1"/>
    <col min="4" max="4" width="14.1640625" customWidth="1"/>
    <col min="5" max="5" width="15" customWidth="1"/>
    <col min="8" max="8" width="25.83203125" bestFit="1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6" t="s">
        <v>2</v>
      </c>
      <c r="B4" s="6"/>
      <c r="C4" s="6"/>
      <c r="D4" s="6"/>
      <c r="E4" s="6"/>
      <c r="F4" s="6"/>
      <c r="G4" s="6"/>
      <c r="H4" s="6"/>
    </row>
    <row r="5" spans="1:8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</row>
    <row r="6" spans="1:8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 t="s">
        <v>17</v>
      </c>
      <c r="H6" s="5" t="s">
        <v>18</v>
      </c>
    </row>
    <row r="7" spans="1:8">
      <c r="A7" s="5" t="s">
        <v>19</v>
      </c>
      <c r="B7" s="5" t="s">
        <v>20</v>
      </c>
      <c r="C7" s="5" t="s">
        <v>13</v>
      </c>
      <c r="D7" s="5" t="s">
        <v>21</v>
      </c>
      <c r="E7" s="5" t="s">
        <v>15</v>
      </c>
      <c r="F7" s="5" t="s">
        <v>22</v>
      </c>
      <c r="G7" s="5" t="s">
        <v>23</v>
      </c>
      <c r="H7" s="5" t="s">
        <v>24</v>
      </c>
    </row>
    <row r="8" spans="1:8">
      <c r="A8" s="5" t="s">
        <v>25</v>
      </c>
      <c r="B8" s="5" t="s">
        <v>26</v>
      </c>
      <c r="C8" s="5" t="s">
        <v>13</v>
      </c>
      <c r="D8" s="5" t="s">
        <v>27</v>
      </c>
      <c r="E8" s="5" t="s">
        <v>15</v>
      </c>
      <c r="F8" s="5" t="s">
        <v>28</v>
      </c>
      <c r="G8" s="5" t="s">
        <v>29</v>
      </c>
      <c r="H8" s="5" t="s">
        <v>30</v>
      </c>
    </row>
    <row r="9" spans="1:8">
      <c r="A9" s="5" t="s">
        <v>31</v>
      </c>
      <c r="B9" s="5" t="s">
        <v>32</v>
      </c>
      <c r="C9" s="5" t="s">
        <v>13</v>
      </c>
      <c r="D9" s="5" t="s">
        <v>14</v>
      </c>
      <c r="E9" s="5" t="s">
        <v>15</v>
      </c>
      <c r="F9" s="5" t="s">
        <v>16</v>
      </c>
      <c r="G9" s="5" t="s">
        <v>17</v>
      </c>
      <c r="H9" s="5" t="s">
        <v>33</v>
      </c>
    </row>
    <row r="10" spans="1:8">
      <c r="A10" s="5" t="s">
        <v>34</v>
      </c>
      <c r="B10" s="5" t="s">
        <v>12</v>
      </c>
      <c r="C10" s="5" t="s">
        <v>13</v>
      </c>
      <c r="D10" s="5" t="s">
        <v>21</v>
      </c>
      <c r="E10" s="5" t="s">
        <v>15</v>
      </c>
      <c r="F10" s="5" t="s">
        <v>22</v>
      </c>
      <c r="G10" s="5" t="s">
        <v>23</v>
      </c>
      <c r="H10" s="5" t="s">
        <v>35</v>
      </c>
    </row>
    <row r="11" spans="1:8">
      <c r="A11" s="5" t="s">
        <v>36</v>
      </c>
      <c r="B11" s="5" t="s">
        <v>37</v>
      </c>
      <c r="C11" s="5" t="s">
        <v>13</v>
      </c>
      <c r="D11" s="5" t="s">
        <v>38</v>
      </c>
      <c r="E11" s="5" t="s">
        <v>15</v>
      </c>
      <c r="F11" s="5" t="s">
        <v>39</v>
      </c>
      <c r="G11" s="5" t="s">
        <v>40</v>
      </c>
      <c r="H11" s="5" t="s">
        <v>41</v>
      </c>
    </row>
    <row r="12" spans="1:8">
      <c r="A12" s="5" t="s">
        <v>42</v>
      </c>
      <c r="B12" s="5" t="s">
        <v>32</v>
      </c>
      <c r="C12" s="5" t="s">
        <v>13</v>
      </c>
      <c r="D12" s="5" t="s">
        <v>43</v>
      </c>
      <c r="E12" s="5" t="s">
        <v>15</v>
      </c>
      <c r="F12" s="5" t="s">
        <v>39</v>
      </c>
      <c r="G12" s="5" t="s">
        <v>44</v>
      </c>
      <c r="H12" s="5" t="s">
        <v>45</v>
      </c>
    </row>
    <row r="13" spans="1:8">
      <c r="A13" s="5" t="s">
        <v>46</v>
      </c>
      <c r="B13" s="5" t="s">
        <v>47</v>
      </c>
      <c r="C13" s="5" t="s">
        <v>13</v>
      </c>
      <c r="D13" s="5" t="s">
        <v>14</v>
      </c>
      <c r="E13" s="5" t="s">
        <v>15</v>
      </c>
      <c r="F13" s="5" t="s">
        <v>16</v>
      </c>
      <c r="G13" s="5" t="s">
        <v>48</v>
      </c>
      <c r="H13" s="5" t="s">
        <v>41</v>
      </c>
    </row>
    <row r="14" spans="1:8">
      <c r="A14" s="5" t="s">
        <v>49</v>
      </c>
      <c r="B14" s="5" t="s">
        <v>47</v>
      </c>
      <c r="C14" s="5" t="s">
        <v>13</v>
      </c>
      <c r="D14" s="5" t="s">
        <v>50</v>
      </c>
      <c r="E14" s="5" t="s">
        <v>15</v>
      </c>
      <c r="F14" s="5" t="s">
        <v>28</v>
      </c>
      <c r="G14" s="5" t="s">
        <v>48</v>
      </c>
      <c r="H14" s="5" t="s">
        <v>51</v>
      </c>
    </row>
    <row r="15" spans="1:8">
      <c r="A15" s="5" t="s">
        <v>52</v>
      </c>
      <c r="B15" s="5" t="s">
        <v>53</v>
      </c>
      <c r="C15" s="5" t="s">
        <v>13</v>
      </c>
      <c r="D15" s="5" t="s">
        <v>14</v>
      </c>
      <c r="E15" s="5" t="s">
        <v>15</v>
      </c>
      <c r="F15" s="5" t="s">
        <v>16</v>
      </c>
      <c r="G15" s="5" t="s">
        <v>17</v>
      </c>
      <c r="H15" s="5" t="s">
        <v>54</v>
      </c>
    </row>
    <row r="16" spans="1:8">
      <c r="A16" s="5" t="s">
        <v>55</v>
      </c>
      <c r="B16" s="5" t="s">
        <v>20</v>
      </c>
      <c r="C16" s="5" t="s">
        <v>56</v>
      </c>
      <c r="D16" s="5" t="s">
        <v>21</v>
      </c>
      <c r="E16" s="5" t="s">
        <v>57</v>
      </c>
      <c r="F16" s="5" t="s">
        <v>22</v>
      </c>
      <c r="G16" s="5" t="s">
        <v>23</v>
      </c>
      <c r="H16" s="5" t="s">
        <v>58</v>
      </c>
    </row>
    <row r="17" spans="1:8">
      <c r="A17" s="5" t="s">
        <v>59</v>
      </c>
      <c r="B17" s="5" t="s">
        <v>53</v>
      </c>
      <c r="C17" s="5" t="s">
        <v>56</v>
      </c>
      <c r="D17" s="5" t="s">
        <v>14</v>
      </c>
      <c r="E17" s="5" t="s">
        <v>57</v>
      </c>
      <c r="F17" s="5" t="s">
        <v>60</v>
      </c>
      <c r="G17" s="5" t="s">
        <v>17</v>
      </c>
      <c r="H17" s="5" t="s">
        <v>61</v>
      </c>
    </row>
    <row r="18" spans="1:8">
      <c r="A18" s="5" t="s">
        <v>62</v>
      </c>
      <c r="B18" s="5" t="s">
        <v>47</v>
      </c>
      <c r="C18" s="5" t="s">
        <v>56</v>
      </c>
      <c r="D18" s="5" t="s">
        <v>50</v>
      </c>
      <c r="E18" s="5" t="s">
        <v>57</v>
      </c>
      <c r="F18" s="5" t="s">
        <v>28</v>
      </c>
      <c r="G18" s="5" t="s">
        <v>48</v>
      </c>
      <c r="H18" s="5" t="s">
        <v>41</v>
      </c>
    </row>
    <row r="19" spans="1:8">
      <c r="A19" s="5" t="s">
        <v>63</v>
      </c>
      <c r="B19" s="5" t="s">
        <v>64</v>
      </c>
      <c r="C19" s="5" t="s">
        <v>56</v>
      </c>
      <c r="D19" s="5" t="s">
        <v>21</v>
      </c>
      <c r="E19" s="5" t="s">
        <v>57</v>
      </c>
      <c r="F19" s="5" t="s">
        <v>22</v>
      </c>
      <c r="G19" s="5" t="s">
        <v>65</v>
      </c>
      <c r="H19" s="5" t="s">
        <v>66</v>
      </c>
    </row>
    <row r="20" spans="1:8">
      <c r="A20" s="5" t="s">
        <v>67</v>
      </c>
      <c r="B20" s="5" t="s">
        <v>47</v>
      </c>
      <c r="C20" s="5" t="s">
        <v>56</v>
      </c>
      <c r="D20" s="5" t="s">
        <v>38</v>
      </c>
      <c r="E20" s="5" t="s">
        <v>57</v>
      </c>
      <c r="F20" s="5" t="s">
        <v>39</v>
      </c>
      <c r="G20" s="5" t="s">
        <v>48</v>
      </c>
      <c r="H20" s="5" t="s">
        <v>66</v>
      </c>
    </row>
    <row r="21" spans="1:8">
      <c r="A21" s="5" t="s">
        <v>68</v>
      </c>
      <c r="B21" s="5" t="s">
        <v>69</v>
      </c>
      <c r="C21" s="5" t="s">
        <v>70</v>
      </c>
      <c r="D21" s="5" t="s">
        <v>14</v>
      </c>
      <c r="E21" s="5" t="s">
        <v>71</v>
      </c>
      <c r="F21" s="5" t="s">
        <v>72</v>
      </c>
      <c r="G21" s="5" t="s">
        <v>23</v>
      </c>
      <c r="H21" s="5" t="s">
        <v>58</v>
      </c>
    </row>
    <row r="22" spans="1:8">
      <c r="A22" s="5" t="s">
        <v>73</v>
      </c>
      <c r="B22" s="5" t="s">
        <v>74</v>
      </c>
      <c r="C22" s="5" t="s">
        <v>70</v>
      </c>
      <c r="D22" s="5" t="s">
        <v>21</v>
      </c>
      <c r="E22" s="5" t="s">
        <v>71</v>
      </c>
      <c r="F22" s="5" t="s">
        <v>75</v>
      </c>
      <c r="G22" s="5" t="s">
        <v>44</v>
      </c>
      <c r="H22" s="5" t="s">
        <v>76</v>
      </c>
    </row>
    <row r="23" spans="1:8">
      <c r="A23" s="5" t="s">
        <v>77</v>
      </c>
      <c r="B23" s="5" t="s">
        <v>47</v>
      </c>
      <c r="C23" s="5" t="s">
        <v>70</v>
      </c>
      <c r="D23" s="5" t="s">
        <v>50</v>
      </c>
      <c r="E23" s="5" t="s">
        <v>71</v>
      </c>
      <c r="F23" s="5" t="s">
        <v>78</v>
      </c>
      <c r="G23" s="5" t="s">
        <v>48</v>
      </c>
      <c r="H23" s="5" t="s">
        <v>66</v>
      </c>
    </row>
    <row r="24" spans="1:8">
      <c r="A24" s="5" t="s">
        <v>79</v>
      </c>
      <c r="B24" s="5" t="s">
        <v>47</v>
      </c>
      <c r="C24" s="5" t="s">
        <v>70</v>
      </c>
      <c r="D24" s="5" t="s">
        <v>80</v>
      </c>
      <c r="E24" s="5" t="s">
        <v>71</v>
      </c>
      <c r="F24" s="5" t="s">
        <v>39</v>
      </c>
      <c r="G24" s="5" t="s">
        <v>48</v>
      </c>
      <c r="H24" s="5" t="s">
        <v>66</v>
      </c>
    </row>
    <row r="25" spans="1:8">
      <c r="A25" s="5" t="s">
        <v>81</v>
      </c>
      <c r="B25" s="5" t="s">
        <v>64</v>
      </c>
      <c r="C25" s="5" t="s">
        <v>70</v>
      </c>
      <c r="D25" s="5" t="s">
        <v>82</v>
      </c>
      <c r="E25" s="5" t="s">
        <v>71</v>
      </c>
      <c r="F25" s="5" t="s">
        <v>60</v>
      </c>
      <c r="G25" s="5" t="s">
        <v>65</v>
      </c>
      <c r="H25" s="5" t="s">
        <v>66</v>
      </c>
    </row>
    <row r="26" spans="1:8">
      <c r="A26" s="5" t="s">
        <v>83</v>
      </c>
      <c r="B26" s="5" t="s">
        <v>47</v>
      </c>
      <c r="C26" s="5" t="s">
        <v>70</v>
      </c>
      <c r="D26" s="5" t="s">
        <v>21</v>
      </c>
      <c r="E26" s="5" t="s">
        <v>71</v>
      </c>
      <c r="F26" s="5" t="s">
        <v>75</v>
      </c>
      <c r="G26" s="5" t="s">
        <v>48</v>
      </c>
      <c r="H26" s="5" t="s">
        <v>66</v>
      </c>
    </row>
    <row r="27" spans="1:8">
      <c r="A27" s="5" t="s">
        <v>84</v>
      </c>
      <c r="B27" s="5" t="s">
        <v>85</v>
      </c>
      <c r="C27" s="5" t="s">
        <v>70</v>
      </c>
      <c r="D27" s="5" t="s">
        <v>50</v>
      </c>
      <c r="E27" s="5" t="s">
        <v>71</v>
      </c>
      <c r="F27" s="5" t="s">
        <v>78</v>
      </c>
      <c r="G27" s="5" t="s">
        <v>86</v>
      </c>
      <c r="H27" s="5" t="s">
        <v>41</v>
      </c>
    </row>
    <row r="28" spans="1:8">
      <c r="A28" s="5" t="s">
        <v>87</v>
      </c>
      <c r="B28" s="5" t="s">
        <v>47</v>
      </c>
      <c r="C28" s="5" t="s">
        <v>70</v>
      </c>
      <c r="D28" s="5" t="s">
        <v>80</v>
      </c>
      <c r="E28" s="5" t="s">
        <v>71</v>
      </c>
      <c r="F28" s="5" t="s">
        <v>39</v>
      </c>
      <c r="G28" s="5" t="s">
        <v>48</v>
      </c>
      <c r="H28" s="5" t="s">
        <v>66</v>
      </c>
    </row>
    <row r="29" spans="1:8">
      <c r="A29" s="5" t="s">
        <v>88</v>
      </c>
      <c r="B29" s="5" t="s">
        <v>47</v>
      </c>
      <c r="C29" s="5" t="s">
        <v>70</v>
      </c>
      <c r="D29" s="5" t="s">
        <v>82</v>
      </c>
      <c r="E29" s="5" t="s">
        <v>71</v>
      </c>
      <c r="F29" s="5" t="s">
        <v>60</v>
      </c>
      <c r="G29" s="5" t="s">
        <v>89</v>
      </c>
      <c r="H29" s="5" t="s">
        <v>66</v>
      </c>
    </row>
    <row r="30" spans="1:8">
      <c r="A30" s="5" t="s">
        <v>90</v>
      </c>
      <c r="B30" s="5" t="s">
        <v>85</v>
      </c>
      <c r="C30" s="5" t="s">
        <v>70</v>
      </c>
      <c r="D30" s="5" t="s">
        <v>21</v>
      </c>
      <c r="E30" s="5" t="s">
        <v>71</v>
      </c>
      <c r="F30" s="5" t="s">
        <v>75</v>
      </c>
      <c r="G30" s="5" t="s">
        <v>91</v>
      </c>
      <c r="H30" s="5" t="s">
        <v>92</v>
      </c>
    </row>
    <row r="32" spans="1:8">
      <c r="A32" s="3"/>
    </row>
    <row r="34" spans="1:1">
      <c r="A34" s="4"/>
    </row>
    <row r="35" spans="1:1">
      <c r="A35" s="4"/>
    </row>
    <row r="36" spans="1:1">
      <c r="A36" s="4"/>
    </row>
    <row r="37" spans="1:1">
      <c r="A37" s="4"/>
    </row>
    <row r="38" spans="1:1">
      <c r="A38" s="4"/>
    </row>
    <row r="39" spans="1:1">
      <c r="A39" s="4"/>
    </row>
    <row r="40" spans="1:1">
      <c r="A40" s="4"/>
    </row>
    <row r="42" spans="1:1">
      <c r="A42" s="4"/>
    </row>
  </sheetData>
  <mergeCells count="3">
    <mergeCell ref="A4:H4"/>
    <mergeCell ref="A2:H2"/>
    <mergeCell ref="A1:H1"/>
  </mergeCells>
  <conditionalFormatting sqref="C6:C30">
    <cfRule type="containsText" dxfId="2" priority="1" operator="containsText" text="LOW">
      <formula>NOT(ISERROR(SEARCH("LOW",C6)))</formula>
    </cfRule>
    <cfRule type="containsText" dxfId="1" priority="2" operator="containsText" text="MEDIUM">
      <formula>NOT(ISERROR(SEARCH("MEDIUM",C6)))</formula>
    </cfRule>
    <cfRule type="containsText" dxfId="0" priority="3" operator="containsText" text="HIGH">
      <formula>NOT(ISERROR(SEARCH("HIGH",C6)))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EF669-0C6D-4444-9C9B-AB911F105D8F}">
  <dimension ref="A1:H11"/>
  <sheetViews>
    <sheetView tabSelected="1" workbookViewId="0">
      <selection activeCell="E16" sqref="E16"/>
    </sheetView>
  </sheetViews>
  <sheetFormatPr baseColWidth="10" defaultRowHeight="16"/>
  <cols>
    <col min="1" max="1" width="34.5" customWidth="1"/>
    <col min="2" max="2" width="11.83203125" bestFit="1" customWidth="1"/>
    <col min="3" max="3" width="13.5" bestFit="1" customWidth="1"/>
    <col min="4" max="4" width="11.83203125" bestFit="1" customWidth="1"/>
    <col min="5" max="5" width="11.33203125" bestFit="1" customWidth="1"/>
    <col min="7" max="7" width="11.1640625" bestFit="1" customWidth="1"/>
  </cols>
  <sheetData>
    <row r="1" spans="1:8" ht="18">
      <c r="A1" s="7" t="s">
        <v>93</v>
      </c>
      <c r="B1" s="7"/>
      <c r="C1" s="7"/>
      <c r="D1" s="7"/>
      <c r="E1" s="7"/>
      <c r="F1" s="7"/>
      <c r="G1" s="7"/>
      <c r="H1" s="7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6" t="s">
        <v>94</v>
      </c>
      <c r="B4" s="6"/>
      <c r="C4" s="6"/>
      <c r="D4" s="6"/>
      <c r="E4" s="6"/>
      <c r="F4" s="6"/>
      <c r="G4" s="6"/>
      <c r="H4" s="6"/>
    </row>
    <row r="5" spans="1:8">
      <c r="A5" s="5" t="s">
        <v>95</v>
      </c>
      <c r="B5" s="5" t="s">
        <v>5</v>
      </c>
      <c r="C5" s="5" t="s">
        <v>96</v>
      </c>
      <c r="D5" s="5" t="s">
        <v>97</v>
      </c>
      <c r="E5" s="5" t="s">
        <v>98</v>
      </c>
      <c r="F5" s="5" t="s">
        <v>99</v>
      </c>
      <c r="G5" s="5" t="s">
        <v>100</v>
      </c>
      <c r="H5" s="5" t="s">
        <v>101</v>
      </c>
    </row>
    <row r="6" spans="1:8">
      <c r="A6" s="5" t="s">
        <v>102</v>
      </c>
      <c r="B6" s="5" t="s">
        <v>13</v>
      </c>
      <c r="C6" s="5" t="s">
        <v>103</v>
      </c>
      <c r="D6" s="11" t="s">
        <v>104</v>
      </c>
      <c r="E6" s="5"/>
      <c r="F6" s="5"/>
      <c r="G6" s="5"/>
      <c r="H6" s="8">
        <v>15</v>
      </c>
    </row>
    <row r="7" spans="1:8">
      <c r="A7" s="5" t="s">
        <v>19</v>
      </c>
      <c r="B7" s="5" t="s">
        <v>13</v>
      </c>
      <c r="C7" s="5" t="s">
        <v>103</v>
      </c>
      <c r="D7" s="5"/>
      <c r="E7" s="10" t="s">
        <v>105</v>
      </c>
      <c r="F7" s="5"/>
      <c r="G7" s="5"/>
      <c r="H7" s="8">
        <v>20</v>
      </c>
    </row>
    <row r="8" spans="1:8">
      <c r="A8" s="5" t="s">
        <v>106</v>
      </c>
      <c r="B8" s="5" t="s">
        <v>13</v>
      </c>
      <c r="C8" s="5" t="s">
        <v>103</v>
      </c>
      <c r="D8" s="5"/>
      <c r="E8" s="5"/>
      <c r="F8" s="10" t="s">
        <v>105</v>
      </c>
      <c r="G8" s="5"/>
      <c r="H8" s="8">
        <v>20</v>
      </c>
    </row>
    <row r="9" spans="1:8">
      <c r="A9" s="5" t="s">
        <v>107</v>
      </c>
      <c r="B9" s="5" t="s">
        <v>13</v>
      </c>
      <c r="C9" s="5" t="s">
        <v>103</v>
      </c>
      <c r="D9" s="5"/>
      <c r="E9" s="5"/>
      <c r="F9" s="5"/>
      <c r="G9" s="10" t="s">
        <v>105</v>
      </c>
      <c r="H9" s="8">
        <v>15</v>
      </c>
    </row>
    <row r="10" spans="1:8">
      <c r="A10" s="5" t="s">
        <v>109</v>
      </c>
      <c r="B10" s="5"/>
      <c r="C10" s="5"/>
      <c r="D10" s="5"/>
      <c r="E10" s="5"/>
      <c r="F10" s="5"/>
      <c r="G10" s="5"/>
      <c r="H10" s="8">
        <f>SUM(H6:H9)</f>
        <v>70</v>
      </c>
    </row>
    <row r="11" spans="1:8" ht="72" customHeight="1">
      <c r="A11" s="9" t="s">
        <v>108</v>
      </c>
      <c r="B11" s="9"/>
      <c r="C11" s="9"/>
      <c r="D11" s="9"/>
      <c r="E11" s="9"/>
      <c r="F11" s="9"/>
      <c r="G11" s="9"/>
      <c r="H11" s="9"/>
    </row>
  </sheetData>
  <mergeCells count="4">
    <mergeCell ref="A4:H4"/>
    <mergeCell ref="A1:H1"/>
    <mergeCell ref="A2:H2"/>
    <mergeCell ref="A11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AUDIT_UNIVERSE</vt:lpstr>
      <vt:lpstr>ANNUAL_AUDIT_PLAN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Pallavi Sojan</dc:creator>
  <cp:lastModifiedBy>Pallavi Sojan</cp:lastModifiedBy>
  <dcterms:created xsi:type="dcterms:W3CDTF">2026-07-03T22:46:35Z</dcterms:created>
  <dcterms:modified xsi:type="dcterms:W3CDTF">2026-07-03T23:02:35Z</dcterms:modified>
</cp:coreProperties>
</file>