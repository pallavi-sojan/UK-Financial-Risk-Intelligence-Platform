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sojan/Documents/Finance Project/excel_models/"/>
    </mc:Choice>
  </mc:AlternateContent>
  <xr:revisionPtr revIDLastSave="0" documentId="13_ncr:1_{61391305-C163-6549-A446-4C5EE79CC142}" xr6:coauthVersionLast="47" xr6:coauthVersionMax="47" xr10:uidLastSave="{00000000-0000-0000-0000-000000000000}"/>
  <bookViews>
    <workbookView xWindow="680" yWindow="660" windowWidth="22740" windowHeight="16940" activeTab="4" xr2:uid="{8BE9D5E0-25CF-BA43-9F60-1BAF3EF2D631}"/>
  </bookViews>
  <sheets>
    <sheet name=" METHODOLOGY" sheetId="1" r:id="rId1"/>
    <sheet name="RISK_METRICS" sheetId="2" r:id="rId2"/>
    <sheet name="SCORECARD" sheetId="3" r:id="rId3"/>
    <sheet name="STRESS_TEST" sheetId="6" r:id="rId4"/>
    <sheet name="IFRS9_STAGING" sheetId="9" r:id="rId5"/>
  </sheets>
  <externalReferences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9" l="1"/>
  <c r="F16" i="9"/>
  <c r="F15" i="9"/>
  <c r="F14" i="9"/>
  <c r="F13" i="9"/>
  <c r="F12" i="9"/>
  <c r="E17" i="9"/>
  <c r="B13" i="9"/>
  <c r="C13" i="9"/>
  <c r="D13" i="9" s="1"/>
  <c r="E13" i="9"/>
  <c r="B14" i="9"/>
  <c r="C14" i="9"/>
  <c r="D14" i="9" s="1"/>
  <c r="E14" i="9"/>
  <c r="B15" i="9"/>
  <c r="C15" i="9"/>
  <c r="D15" i="9" s="1"/>
  <c r="E15" i="9"/>
  <c r="B16" i="9"/>
  <c r="C16" i="9"/>
  <c r="D16" i="9" s="1"/>
  <c r="E16" i="9"/>
  <c r="E12" i="9"/>
  <c r="D12" i="9"/>
  <c r="C12" i="9"/>
  <c r="B12" i="9"/>
  <c r="G18" i="6"/>
  <c r="F18" i="6"/>
  <c r="E18" i="6"/>
  <c r="D18" i="6"/>
  <c r="C18" i="6"/>
  <c r="B18" i="6"/>
  <c r="D14" i="6"/>
  <c r="E14" i="6"/>
  <c r="F14" i="6"/>
  <c r="G14" i="6" s="1"/>
  <c r="D15" i="6"/>
  <c r="E15" i="6"/>
  <c r="F15" i="6"/>
  <c r="G15" i="6" s="1"/>
  <c r="D16" i="6"/>
  <c r="E16" i="6"/>
  <c r="F16" i="6"/>
  <c r="G16" i="6"/>
  <c r="D17" i="6"/>
  <c r="E17" i="6"/>
  <c r="F17" i="6"/>
  <c r="G17" i="6"/>
  <c r="G13" i="6"/>
  <c r="F13" i="6"/>
  <c r="E13" i="6"/>
  <c r="D13" i="6"/>
  <c r="C14" i="6"/>
  <c r="C15" i="6"/>
  <c r="C16" i="6"/>
  <c r="C17" i="6"/>
  <c r="C13" i="6"/>
  <c r="B14" i="6"/>
  <c r="B15" i="6"/>
  <c r="B16" i="6"/>
  <c r="B17" i="6"/>
  <c r="B13" i="6"/>
  <c r="E11" i="3"/>
  <c r="D11" i="3"/>
  <c r="C11" i="3"/>
  <c r="B11" i="3"/>
  <c r="G6" i="3"/>
  <c r="G7" i="3"/>
  <c r="G8" i="3"/>
  <c r="G9" i="3"/>
  <c r="G10" i="3"/>
  <c r="F6" i="3"/>
  <c r="F7" i="3"/>
  <c r="F8" i="3"/>
  <c r="F9" i="3"/>
  <c r="F10" i="3"/>
  <c r="E7" i="3"/>
  <c r="E8" i="3"/>
  <c r="E9" i="3"/>
  <c r="E10" i="3"/>
  <c r="E6" i="3"/>
  <c r="F11" i="2"/>
  <c r="E9" i="2"/>
  <c r="E10" i="2"/>
  <c r="E11" i="2"/>
  <c r="E7" i="2"/>
  <c r="E8" i="2"/>
  <c r="E6" i="2"/>
  <c r="D8" i="2"/>
  <c r="D7" i="2"/>
  <c r="D6" i="2"/>
  <c r="C11" i="2" l="1"/>
  <c r="B11" i="2"/>
  <c r="D11" i="2"/>
</calcChain>
</file>

<file path=xl/sharedStrings.xml><?xml version="1.0" encoding="utf-8"?>
<sst xmlns="http://schemas.openxmlformats.org/spreadsheetml/2006/main" count="135" uniqueCount="112">
  <si>
    <t>CALEDONIA BANK PLC — CREDIT RISK SCORECARD &amp; IFRS 9 MODEL</t>
  </si>
  <si>
    <t>Regulatory basis: Basel III Standardised Approach | BoE Annual Cyclical Scenario | IFRS 9 IASB | PRA SS1/23</t>
  </si>
  <si>
    <t>MODEL METHODOLOGY &amp; FRAMEWORK</t>
  </si>
  <si>
    <t>Model Purpose</t>
  </si>
  <si>
    <t>Quantitative credit risk scorecard using BoE sectoral lending and write-off data</t>
  </si>
  <si>
    <t>Regulatory Framework</t>
  </si>
  <si>
    <t>Basel III Standardised Approach, BoE Annual Cyclical Scenario, IFRS 9</t>
  </si>
  <si>
    <t>Data Source</t>
  </si>
  <si>
    <t>Bank of England Statistical Database — loan_writeoffs and master_boe_data tables</t>
  </si>
  <si>
    <t>PD Methodology</t>
  </si>
  <si>
    <t>PD Proxy = Sector write-offs / Total sector lending (from BoE data)</t>
  </si>
  <si>
    <t>LGD Assumptions</t>
  </si>
  <si>
    <t>Secured (mortgages) = 45%</t>
  </si>
  <si>
    <t>EAD Definition</t>
  </si>
  <si>
    <t>Total lending exposure per sector from BoE MFI lending data</t>
  </si>
  <si>
    <t>Expected Loss Formula</t>
  </si>
  <si>
    <t>ECL = PD x LGD x EAD</t>
  </si>
  <si>
    <t>Stress Test Calibration</t>
  </si>
  <si>
    <t>BoE ACS: Mild +100bps, Moderate +200bps, Severe +300bps</t>
  </si>
  <si>
    <t>IFRS 9 Staging</t>
  </si>
  <si>
    <t>Stage 1: PD &lt;1% (12m ECL)</t>
  </si>
  <si>
    <t>CALEDONIA BANK PLC — CREDIT RISK METRICS BY SECTOR</t>
  </si>
  <si>
    <t>Data source: Bank of England Statistical Database | loan_writeoffs and master_boe_data tables | FY2024</t>
  </si>
  <si>
    <t>SECTORAL RISK METRICS</t>
  </si>
  <si>
    <t>SECTOR</t>
  </si>
  <si>
    <t>PD PROXY %</t>
  </si>
  <si>
    <t>LGD %</t>
  </si>
  <si>
    <t>EAD (£m)</t>
  </si>
  <si>
    <t>EXPECTED LOSS (£m)</t>
  </si>
  <si>
    <t>YOY CHANGE %</t>
  </si>
  <si>
    <t>RISK BAND</t>
  </si>
  <si>
    <t>Mortgage Lending</t>
  </si>
  <si>
    <t>LOW</t>
  </si>
  <si>
    <t>Consumer Credit</t>
  </si>
  <si>
    <t>MEDIUM</t>
  </si>
  <si>
    <t>Corporate Lending</t>
  </si>
  <si>
    <t>Commercial Real Estate</t>
  </si>
  <si>
    <t>HIGH</t>
  </si>
  <si>
    <t>Small Business</t>
  </si>
  <si>
    <t>TOTAL PORTFOLIO</t>
  </si>
  <si>
    <t>CALEDONIA BANK PLC — CREDIT RISK SCORECARD</t>
  </si>
  <si>
    <t>Scoring methodology: PD Score (40pts) | Concentration Score (30pts) | Trend Score (30pts) | Total 100pts</t>
  </si>
  <si>
    <t>CREDIT RISK SCORING BY SECTOR</t>
  </si>
  <si>
    <t>PD SCORE (/40)</t>
  </si>
  <si>
    <t>CONCENTRATION SCORE (/30)</t>
  </si>
  <si>
    <t>TREND SCORE (/30)</t>
  </si>
  <si>
    <t>TOTAL (/100)</t>
  </si>
  <si>
    <t>RAG RATING</t>
  </si>
  <si>
    <t>IFRS 9 STAGE</t>
  </si>
  <si>
    <t>PORTFOLIO AVERAGE</t>
  </si>
  <si>
    <t>CALEDONIA BANK PLC — CREDIT RISK STRESS TEST</t>
  </si>
  <si>
    <t>Stress scenarios calibrated to BoE Annual Cyclical Scenario (ACS) | Basis: PD multiplier applied to base case ECL</t>
  </si>
  <si>
    <t>SCENARIO ASSUMPTIONS</t>
  </si>
  <si>
    <t>SCENARIO</t>
  </si>
  <si>
    <t>RATE STRESS</t>
  </si>
  <si>
    <t>PD MULTIPLIER</t>
  </si>
  <si>
    <t>DESCRIPTION</t>
  </si>
  <si>
    <t>BoE ACS REFERENCE</t>
  </si>
  <si>
    <t>BASE</t>
  </si>
  <si>
    <t>MILD</t>
  </si>
  <si>
    <t>MODERATE</t>
  </si>
  <si>
    <t>SEVERE</t>
  </si>
  <si>
    <t>No change</t>
  </si>
  <si>
    <t>+100bps</t>
  </si>
  <si>
    <t>+200bps</t>
  </si>
  <si>
    <t>+300bps</t>
  </si>
  <si>
    <t>1.0x</t>
  </si>
  <si>
    <t>1.15x</t>
  </si>
  <si>
    <t>1.35x</t>
  </si>
  <si>
    <t>1.65x</t>
  </si>
  <si>
    <t>Current economic conditions</t>
  </si>
  <si>
    <t>Moderate rate increase - manageable stress</t>
  </si>
  <si>
    <t>Significant rate increase - elevated stress</t>
  </si>
  <si>
    <t>Severe stress - BoE ACS calibrated scenario</t>
  </si>
  <si>
    <t>BoE Base Case</t>
  </si>
  <si>
    <t>BoE ACS Mild</t>
  </si>
  <si>
    <t>BoE ACS Moderate</t>
  </si>
  <si>
    <t>BoE ACS Severe</t>
  </si>
  <si>
    <t>STRESS TEST RESULTS — ECL BY SCENARIO</t>
  </si>
  <si>
    <t>BASE ECL (£m)</t>
  </si>
  <si>
    <t>MILD ECL (£m)</t>
  </si>
  <si>
    <t>MODERATE ECL (£m)</t>
  </si>
  <si>
    <t>SEVERE ECL (£m)</t>
  </si>
  <si>
    <t>SEVERE vs BASE (£m)</t>
  </si>
  <si>
    <t>SEVERE vs BASE %</t>
  </si>
  <si>
    <t>CALEDONIA BANK PLC — IFRS 9 IMPAIRMENT STAGING</t>
  </si>
  <si>
    <t>Regulatory basis: IFRS 9 IASB | Stage 1: 12-month ECL | Stage 2: Lifetime ECL | Stage 3: Credit-impaired Lifetime ECL</t>
  </si>
  <si>
    <t>IFRS 9 STAGING DEFINITIONS</t>
  </si>
  <si>
    <t>Stage</t>
  </si>
  <si>
    <t>Definition</t>
  </si>
  <si>
    <t>ECL Basis</t>
  </si>
  <si>
    <t>Stage 1</t>
  </si>
  <si>
    <t>No significant increase in credit risk since initial recognition</t>
  </si>
  <si>
    <t>12-month ECL</t>
  </si>
  <si>
    <t>Stage 2</t>
  </si>
  <si>
    <t>Significant increase in credit risk since initial recognition</t>
  </si>
  <si>
    <t>Lifetime ECL</t>
  </si>
  <si>
    <t>Stage 3</t>
  </si>
  <si>
    <t>Credit-impaired — objective evidence of impairment</t>
  </si>
  <si>
    <t>IFRS 9 STAGING ALLOCATION BY SECTOR</t>
  </si>
  <si>
    <t>STAGE</t>
  </si>
  <si>
    <t>ECL BASIS</t>
  </si>
  <si>
    <t>ECL (£m)</t>
  </si>
  <si>
    <t>% OF TOTAL ECL</t>
  </si>
  <si>
    <t>TRIGGER</t>
  </si>
  <si>
    <t>Total</t>
  </si>
  <si>
    <t>Note: All Stage 2 sectors show significant increase in credit risk since initial recognition per IFRS 9 paragraph 5.5.3. Lifetime ECL applied accordingly. Stage 3 (credit-impaired) exposures are nil in base scenario.</t>
  </si>
  <si>
    <t>No significant deterioration</t>
  </si>
  <si>
    <t>Significant deterioration — rate stress</t>
  </si>
  <si>
    <t>Significant deterioration — economic stress</t>
  </si>
  <si>
    <t>Significant deterioration — CRE market</t>
  </si>
  <si>
    <t>Significant deterioration — rate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</si>
</sst>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FFFF"/>
      <name val="-webkit-standard"/>
    </font>
    <font>
      <sz val="14"/>
      <color theme="1"/>
      <name val="-webkit-standard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9A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10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9" fontId="7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5" borderId="1" xfId="0" applyFill="1" applyBorder="1"/>
    <xf numFmtId="0" fontId="0" fillId="5" borderId="1" xfId="0" quotePrefix="1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1" fontId="0" fillId="0" borderId="1" xfId="0" applyNumberFormat="1" applyBorder="1"/>
    <xf numFmtId="9" fontId="0" fillId="0" borderId="1" xfId="1" applyFont="1" applyBorder="1"/>
    <xf numFmtId="10" fontId="0" fillId="0" borderId="1" xfId="0" applyNumberFormat="1" applyBorder="1"/>
    <xf numFmtId="0" fontId="0" fillId="0" borderId="1" xfId="0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B9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llavisojan/Documents/Finance%20Project/excel_models/Regulatory_Reporting_Model.xlsx" TargetMode="External"/><Relationship Id="rId1" Type="http://schemas.openxmlformats.org/officeDocument/2006/relationships/externalLinkPath" Target="Regulatory_Reporting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EP_OVERVIEW"/>
      <sheetName val="EXTERNAL_INPUTS"/>
      <sheetName val="OWN_FUNDS"/>
      <sheetName val="CAPITAL_REQUIREMENTS"/>
      <sheetName val="LEVERAGE RATIO"/>
      <sheetName val="FINREP_PL"/>
      <sheetName val="FINREP_BS"/>
      <sheetName val="DATA_QUALITY"/>
    </sheetNames>
    <sheetDataSet>
      <sheetData sheetId="0"/>
      <sheetData sheetId="1"/>
      <sheetData sheetId="2"/>
      <sheetData sheetId="3">
        <row r="6">
          <cell r="C6">
            <v>86956.521739130432</v>
          </cell>
        </row>
        <row r="7">
          <cell r="C7">
            <v>36231.884057971016</v>
          </cell>
        </row>
        <row r="8">
          <cell r="C8">
            <v>21739.130434782608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441A-3618-2F4D-9980-99F4EC26269A}">
  <dimension ref="A1:K14"/>
  <sheetViews>
    <sheetView workbookViewId="0">
      <selection activeCell="B10" sqref="B10"/>
    </sheetView>
  </sheetViews>
  <sheetFormatPr baseColWidth="10" defaultRowHeight="16"/>
  <cols>
    <col min="1" max="1" width="21" customWidth="1"/>
    <col min="2" max="2" width="67.33203125" bestFit="1" customWidth="1"/>
  </cols>
  <sheetData>
    <row r="1" spans="1:11">
      <c r="A1" t="s">
        <v>0</v>
      </c>
    </row>
    <row r="2" spans="1:11">
      <c r="A2" t="s">
        <v>1</v>
      </c>
    </row>
    <row r="4" spans="1:11">
      <c r="A4" t="s">
        <v>2</v>
      </c>
    </row>
    <row r="6" spans="1:11" ht="18">
      <c r="A6" s="2" t="s">
        <v>3</v>
      </c>
      <c r="B6" s="3" t="s">
        <v>4</v>
      </c>
    </row>
    <row r="7" spans="1:11">
      <c r="A7" s="3" t="s">
        <v>5</v>
      </c>
      <c r="B7" s="3" t="s">
        <v>6</v>
      </c>
    </row>
    <row r="8" spans="1:11">
      <c r="A8" s="3" t="s">
        <v>7</v>
      </c>
      <c r="B8" s="3" t="s">
        <v>8</v>
      </c>
    </row>
    <row r="9" spans="1:11" ht="18">
      <c r="A9" s="3" t="s">
        <v>9</v>
      </c>
      <c r="B9" s="3" t="s">
        <v>10</v>
      </c>
      <c r="J9" s="1"/>
      <c r="K9" s="1"/>
    </row>
    <row r="10" spans="1:11">
      <c r="A10" s="3" t="s">
        <v>11</v>
      </c>
      <c r="B10" s="3" t="s">
        <v>12</v>
      </c>
    </row>
    <row r="11" spans="1:11">
      <c r="A11" s="3" t="s">
        <v>13</v>
      </c>
      <c r="B11" s="3" t="s">
        <v>14</v>
      </c>
    </row>
    <row r="12" spans="1:11">
      <c r="A12" s="3" t="s">
        <v>15</v>
      </c>
      <c r="B12" s="3" t="s">
        <v>16</v>
      </c>
    </row>
    <row r="13" spans="1:11">
      <c r="A13" s="3" t="s">
        <v>17</v>
      </c>
      <c r="B13" s="3" t="s">
        <v>18</v>
      </c>
    </row>
    <row r="14" spans="1:11">
      <c r="A14" s="3" t="s">
        <v>19</v>
      </c>
      <c r="B14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CFA8-BB0D-C446-9CBF-696EA344EB26}">
  <dimension ref="A1:G31"/>
  <sheetViews>
    <sheetView workbookViewId="0">
      <selection activeCell="E12" sqref="E12"/>
    </sheetView>
  </sheetViews>
  <sheetFormatPr baseColWidth="10" defaultRowHeight="16"/>
  <cols>
    <col min="1" max="1" width="23.33203125" customWidth="1"/>
    <col min="2" max="2" width="13.1640625" customWidth="1"/>
    <col min="3" max="3" width="12.1640625" customWidth="1"/>
    <col min="4" max="4" width="17.83203125" bestFit="1" customWidth="1"/>
    <col min="5" max="5" width="18.33203125" bestFit="1" customWidth="1"/>
    <col min="6" max="6" width="14" bestFit="1" customWidth="1"/>
    <col min="7" max="7" width="13.5" customWidth="1"/>
  </cols>
  <sheetData>
    <row r="1" spans="1:7">
      <c r="A1" t="s">
        <v>21</v>
      </c>
    </row>
    <row r="2" spans="1:7">
      <c r="A2" t="s">
        <v>22</v>
      </c>
    </row>
    <row r="4" spans="1:7">
      <c r="A4" s="14" t="s">
        <v>23</v>
      </c>
      <c r="B4" s="15"/>
      <c r="C4" s="15"/>
      <c r="D4" s="15"/>
      <c r="E4" s="15"/>
      <c r="F4" s="15"/>
      <c r="G4" s="16"/>
    </row>
    <row r="5" spans="1:7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ht="17">
      <c r="A6" s="3" t="s">
        <v>31</v>
      </c>
      <c r="B6" s="6">
        <v>3.0000000000000001E-3</v>
      </c>
      <c r="C6" s="7">
        <v>0.45</v>
      </c>
      <c r="D6" s="8">
        <f>[1]CAPITAL_REQUIREMENTS!$C$6</f>
        <v>86956.521739130432</v>
      </c>
      <c r="E6" s="8">
        <f>B6*C6*D6</f>
        <v>117.39130434782609</v>
      </c>
      <c r="F6" s="7">
        <v>-0.05</v>
      </c>
      <c r="G6" s="10" t="s">
        <v>32</v>
      </c>
    </row>
    <row r="7" spans="1:7" ht="17">
      <c r="A7" s="3" t="s">
        <v>33</v>
      </c>
      <c r="B7" s="6">
        <v>1.7999999999999999E-2</v>
      </c>
      <c r="C7" s="7">
        <v>0.65</v>
      </c>
      <c r="D7" s="8">
        <f>[1]CAPITAL_REQUIREMENTS!$C$8</f>
        <v>21739.130434782608</v>
      </c>
      <c r="E7" s="8">
        <f t="shared" ref="E7:E10" si="0">B7*C7*D7</f>
        <v>254.34782608695653</v>
      </c>
      <c r="F7" s="7">
        <v>0.12</v>
      </c>
      <c r="G7" s="10" t="s">
        <v>34</v>
      </c>
    </row>
    <row r="8" spans="1:7" ht="17">
      <c r="A8" s="3" t="s">
        <v>35</v>
      </c>
      <c r="B8" s="6">
        <v>2.1000000000000001E-2</v>
      </c>
      <c r="C8" s="7">
        <v>0.55000000000000004</v>
      </c>
      <c r="D8" s="8">
        <f>[1]CAPITAL_REQUIREMENTS!$C$7</f>
        <v>36231.884057971016</v>
      </c>
      <c r="E8" s="8">
        <f t="shared" si="0"/>
        <v>418.4782608695653</v>
      </c>
      <c r="F8" s="7">
        <v>0.08</v>
      </c>
      <c r="G8" s="10" t="s">
        <v>34</v>
      </c>
    </row>
    <row r="9" spans="1:7" ht="17">
      <c r="A9" s="3" t="s">
        <v>36</v>
      </c>
      <c r="B9" s="6">
        <v>3.2000000000000001E-2</v>
      </c>
      <c r="C9" s="7">
        <v>0.6</v>
      </c>
      <c r="D9" s="10">
        <v>12000</v>
      </c>
      <c r="E9" s="8">
        <f>B9*C9*D9</f>
        <v>230.39999999999998</v>
      </c>
      <c r="F9" s="7">
        <v>0.25</v>
      </c>
      <c r="G9" s="10" t="s">
        <v>37</v>
      </c>
    </row>
    <row r="10" spans="1:7" ht="17">
      <c r="A10" s="3" t="s">
        <v>38</v>
      </c>
      <c r="B10" s="6">
        <v>2.8000000000000001E-2</v>
      </c>
      <c r="C10" s="7">
        <v>0.57999999999999996</v>
      </c>
      <c r="D10" s="10">
        <v>6500</v>
      </c>
      <c r="E10" s="8">
        <f>B10*C10*D10</f>
        <v>105.55999999999999</v>
      </c>
      <c r="F10" s="7">
        <v>0.15</v>
      </c>
      <c r="G10" s="10" t="s">
        <v>37</v>
      </c>
    </row>
    <row r="11" spans="1:7" ht="17">
      <c r="A11" s="11" t="s">
        <v>39</v>
      </c>
      <c r="B11" s="9">
        <f>SUMPRODUCT(B6:B9,D6:D9)/SUM(D6:D9)</f>
        <v>1.1451422238640561E-2</v>
      </c>
      <c r="C11" s="9">
        <f>SUMPRODUCT(C6:C9,D6:D9)/SUM(D6:D9)</f>
        <v>0.51226449944588104</v>
      </c>
      <c r="D11" s="8">
        <f>SUM(D6:D9)</f>
        <v>156927.53623188406</v>
      </c>
      <c r="E11" s="8">
        <f>SUM(E6:E9)</f>
        <v>1020.617391304348</v>
      </c>
      <c r="F11" s="12">
        <f>AVERAGE(F6:F10)</f>
        <v>0.11000000000000001</v>
      </c>
      <c r="G11" s="10"/>
    </row>
    <row r="13" spans="1:7">
      <c r="A13" s="4"/>
    </row>
    <row r="15" spans="1:7">
      <c r="A15" s="5"/>
    </row>
    <row r="16" spans="1:7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4" spans="1:1">
      <c r="A24" s="4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1" spans="1:1">
      <c r="A31" s="5"/>
    </row>
  </sheetData>
  <mergeCells count="1">
    <mergeCell ref="A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631B-87D8-C64A-84B4-A514F3217EC9}">
  <dimension ref="A1:G11"/>
  <sheetViews>
    <sheetView topLeftCell="A2" workbookViewId="0">
      <selection activeCell="E30" sqref="E30"/>
    </sheetView>
  </sheetViews>
  <sheetFormatPr baseColWidth="10" defaultRowHeight="16"/>
  <cols>
    <col min="1" max="1" width="21.5" customWidth="1"/>
    <col min="2" max="2" width="14" bestFit="1" customWidth="1"/>
    <col min="3" max="3" width="26.83203125" bestFit="1" customWidth="1"/>
    <col min="4" max="4" width="17.6640625" bestFit="1" customWidth="1"/>
    <col min="5" max="5" width="12.1640625" bestFit="1" customWidth="1"/>
    <col min="6" max="6" width="11.83203125" bestFit="1" customWidth="1"/>
    <col min="7" max="7" width="12.33203125" bestFit="1" customWidth="1"/>
  </cols>
  <sheetData>
    <row r="1" spans="1:7">
      <c r="A1" t="s">
        <v>40</v>
      </c>
    </row>
    <row r="2" spans="1:7">
      <c r="A2" t="s">
        <v>41</v>
      </c>
    </row>
    <row r="4" spans="1:7">
      <c r="A4" s="13" t="s">
        <v>42</v>
      </c>
      <c r="B4" s="13"/>
      <c r="C4" s="13"/>
      <c r="D4" s="13"/>
      <c r="E4" s="13"/>
      <c r="F4" s="13"/>
      <c r="G4" s="13"/>
    </row>
    <row r="5" spans="1:7">
      <c r="A5" s="3" t="s">
        <v>24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</row>
    <row r="6" spans="1:7">
      <c r="A6" s="3" t="s">
        <v>31</v>
      </c>
      <c r="B6" s="3">
        <v>36</v>
      </c>
      <c r="C6" s="3">
        <v>24</v>
      </c>
      <c r="D6" s="3">
        <v>26</v>
      </c>
      <c r="E6" s="3">
        <f>SUM(B6:D6)</f>
        <v>86</v>
      </c>
      <c r="F6" s="3" t="str">
        <f>IF(E6&gt;=70,"GREEN",IF(E6&gt;=40,"AMBER","RED"))</f>
        <v>GREEN</v>
      </c>
      <c r="G6" s="3" t="str">
        <f>IF(RISK_METRICS!B6&lt;0.01,"Stage 1",IF(RISK_METRICS!B6&lt;0.05,"Stage 2","Stage 3"))</f>
        <v>Stage 1</v>
      </c>
    </row>
    <row r="7" spans="1:7">
      <c r="A7" s="3" t="s">
        <v>33</v>
      </c>
      <c r="B7" s="3">
        <v>22</v>
      </c>
      <c r="C7" s="3">
        <v>18</v>
      </c>
      <c r="D7" s="3">
        <v>18</v>
      </c>
      <c r="E7" s="3">
        <f t="shared" ref="E7:E10" si="0">SUM(B7:D7)</f>
        <v>58</v>
      </c>
      <c r="F7" s="3" t="str">
        <f t="shared" ref="F7:F10" si="1">IF(E7&gt;=70,"GREEN",IF(E7&gt;=40,"AMBER","RED"))</f>
        <v>AMBER</v>
      </c>
      <c r="G7" s="3" t="str">
        <f>IF(RISK_METRICS!B7&lt;0.01,"Stage 1",IF(RISK_METRICS!B7&lt;0.05,"Stage 2","Stage 3"))</f>
        <v>Stage 2</v>
      </c>
    </row>
    <row r="8" spans="1:7">
      <c r="A8" s="3" t="s">
        <v>35</v>
      </c>
      <c r="B8" s="3">
        <v>20</v>
      </c>
      <c r="C8" s="3">
        <v>22</v>
      </c>
      <c r="D8" s="3">
        <v>18</v>
      </c>
      <c r="E8" s="3">
        <f t="shared" si="0"/>
        <v>60</v>
      </c>
      <c r="F8" s="3" t="str">
        <f t="shared" si="1"/>
        <v>AMBER</v>
      </c>
      <c r="G8" s="3" t="str">
        <f>IF(RISK_METRICS!B8&lt;0.01,"Stage 1",IF(RISK_METRICS!B8&lt;0.05,"Stage 2","Stage 3"))</f>
        <v>Stage 2</v>
      </c>
    </row>
    <row r="9" spans="1:7">
      <c r="A9" s="3" t="s">
        <v>36</v>
      </c>
      <c r="B9" s="3">
        <v>14</v>
      </c>
      <c r="C9" s="3">
        <v>20</v>
      </c>
      <c r="D9" s="3">
        <v>12</v>
      </c>
      <c r="E9" s="3">
        <f t="shared" si="0"/>
        <v>46</v>
      </c>
      <c r="F9" s="3" t="str">
        <f t="shared" si="1"/>
        <v>AMBER</v>
      </c>
      <c r="G9" s="3" t="str">
        <f>IF(RISK_METRICS!B9&lt;0.01,"Stage 1",IF(RISK_METRICS!B9&lt;0.05,"Stage 2","Stage 3"))</f>
        <v>Stage 2</v>
      </c>
    </row>
    <row r="10" spans="1:7">
      <c r="A10" s="3" t="s">
        <v>38</v>
      </c>
      <c r="B10" s="3">
        <v>18</v>
      </c>
      <c r="C10" s="3">
        <v>16</v>
      </c>
      <c r="D10" s="3">
        <v>16</v>
      </c>
      <c r="E10" s="3">
        <f t="shared" si="0"/>
        <v>50</v>
      </c>
      <c r="F10" s="3" t="str">
        <f t="shared" si="1"/>
        <v>AMBER</v>
      </c>
      <c r="G10" s="3" t="str">
        <f>IF(RISK_METRICS!B10&lt;0.01,"Stage 1",IF(RISK_METRICS!B10&lt;0.05,"Stage 2","Stage 3"))</f>
        <v>Stage 2</v>
      </c>
    </row>
    <row r="11" spans="1:7">
      <c r="A11" s="3" t="s">
        <v>49</v>
      </c>
      <c r="B11" s="3">
        <f>AVERAGE(B6:B10)</f>
        <v>22</v>
      </c>
      <c r="C11" s="3">
        <f>AVERAGE(C6:C10)</f>
        <v>20</v>
      </c>
      <c r="D11" s="3">
        <f>AVERAGE(D6:D10)</f>
        <v>18</v>
      </c>
      <c r="E11" s="3">
        <f>AVERAGE(E6:E10)</f>
        <v>60</v>
      </c>
      <c r="F11" s="3"/>
      <c r="G11" s="3"/>
    </row>
  </sheetData>
  <mergeCells count="1"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1C6E-751A-0544-ADA9-41717E8BAA52}">
  <dimension ref="A1:G18"/>
  <sheetViews>
    <sheetView workbookViewId="0">
      <selection activeCell="A13" sqref="A13:A17"/>
    </sheetView>
  </sheetViews>
  <sheetFormatPr baseColWidth="10" defaultRowHeight="16"/>
  <cols>
    <col min="1" max="1" width="21.6640625" customWidth="1"/>
    <col min="2" max="2" width="13" bestFit="1" customWidth="1"/>
    <col min="3" max="3" width="13.6640625" bestFit="1" customWidth="1"/>
    <col min="4" max="4" width="19.5" customWidth="1"/>
    <col min="5" max="5" width="18.33203125" bestFit="1" customWidth="1"/>
    <col min="6" max="6" width="17.1640625" customWidth="1"/>
    <col min="7" max="7" width="16.33203125" customWidth="1"/>
  </cols>
  <sheetData>
    <row r="1" spans="1:7">
      <c r="A1" s="17" t="s">
        <v>50</v>
      </c>
      <c r="B1" s="17"/>
      <c r="C1" s="17"/>
      <c r="D1" s="17"/>
      <c r="E1" s="17"/>
    </row>
    <row r="2" spans="1:7">
      <c r="A2" s="17" t="s">
        <v>51</v>
      </c>
      <c r="B2" s="17"/>
      <c r="C2" s="17"/>
      <c r="D2" s="17"/>
      <c r="E2" s="17"/>
    </row>
    <row r="4" spans="1:7">
      <c r="A4" t="s">
        <v>52</v>
      </c>
    </row>
    <row r="5" spans="1:7">
      <c r="A5" s="3" t="s">
        <v>53</v>
      </c>
      <c r="B5" s="3" t="s">
        <v>54</v>
      </c>
      <c r="C5" s="3" t="s">
        <v>55</v>
      </c>
      <c r="D5" s="3" t="s">
        <v>56</v>
      </c>
      <c r="E5" s="3" t="s">
        <v>57</v>
      </c>
    </row>
    <row r="6" spans="1:7" ht="34">
      <c r="A6" s="18" t="s">
        <v>58</v>
      </c>
      <c r="B6" s="18" t="s">
        <v>62</v>
      </c>
      <c r="C6" s="18" t="s">
        <v>66</v>
      </c>
      <c r="D6" s="25" t="s">
        <v>70</v>
      </c>
      <c r="E6" s="18" t="s">
        <v>74</v>
      </c>
    </row>
    <row r="7" spans="1:7" ht="51">
      <c r="A7" s="19" t="s">
        <v>59</v>
      </c>
      <c r="B7" s="20" t="s">
        <v>63</v>
      </c>
      <c r="C7" s="19" t="s">
        <v>67</v>
      </c>
      <c r="D7" s="29" t="s">
        <v>71</v>
      </c>
      <c r="E7" s="19" t="s">
        <v>75</v>
      </c>
    </row>
    <row r="8" spans="1:7" ht="51">
      <c r="A8" s="21" t="s">
        <v>60</v>
      </c>
      <c r="B8" s="22" t="s">
        <v>64</v>
      </c>
      <c r="C8" s="21" t="s">
        <v>68</v>
      </c>
      <c r="D8" s="27" t="s">
        <v>72</v>
      </c>
      <c r="E8" s="21" t="s">
        <v>76</v>
      </c>
    </row>
    <row r="9" spans="1:7" ht="34">
      <c r="A9" s="23" t="s">
        <v>61</v>
      </c>
      <c r="B9" s="24" t="s">
        <v>65</v>
      </c>
      <c r="C9" s="23" t="s">
        <v>69</v>
      </c>
      <c r="D9" s="28" t="s">
        <v>73</v>
      </c>
      <c r="E9" s="23" t="s">
        <v>77</v>
      </c>
    </row>
    <row r="11" spans="1:7">
      <c r="A11" s="13" t="s">
        <v>78</v>
      </c>
      <c r="B11" s="13"/>
      <c r="C11" s="13"/>
      <c r="D11" s="13"/>
      <c r="E11" s="13"/>
      <c r="F11" s="13"/>
      <c r="G11" s="13"/>
    </row>
    <row r="12" spans="1:7">
      <c r="A12" s="3" t="s">
        <v>24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</row>
    <row r="13" spans="1:7" ht="18">
      <c r="A13" s="2" t="s">
        <v>31</v>
      </c>
      <c r="B13" s="30">
        <f>RISK_METRICS!E6</f>
        <v>117.39130434782609</v>
      </c>
      <c r="C13" s="30">
        <f>B13*1.15</f>
        <v>135</v>
      </c>
      <c r="D13" s="30">
        <f>B13*1.35</f>
        <v>158.47826086956525</v>
      </c>
      <c r="E13" s="30">
        <f>B13*1.65</f>
        <v>193.69565217391303</v>
      </c>
      <c r="F13" s="30">
        <f>E13-B13</f>
        <v>76.304347826086939</v>
      </c>
      <c r="G13" s="31">
        <f>F13/B13</f>
        <v>0.6499999999999998</v>
      </c>
    </row>
    <row r="14" spans="1:7">
      <c r="A14" s="3" t="s">
        <v>33</v>
      </c>
      <c r="B14" s="30">
        <f>RISK_METRICS!E7</f>
        <v>254.34782608695653</v>
      </c>
      <c r="C14" s="30">
        <f t="shared" ref="C14:C18" si="0">B14*1.15</f>
        <v>292.5</v>
      </c>
      <c r="D14" s="30">
        <f t="shared" ref="D14:D17" si="1">B14*1.35</f>
        <v>343.36956521739131</v>
      </c>
      <c r="E14" s="30">
        <f t="shared" ref="E14:E17" si="2">B14*1.65</f>
        <v>419.67391304347825</v>
      </c>
      <c r="F14" s="30">
        <f t="shared" ref="F14:F17" si="3">E14-B14</f>
        <v>165.32608695652172</v>
      </c>
      <c r="G14" s="31">
        <f t="shared" ref="G14:G17" si="4">F14/B14</f>
        <v>0.64999999999999991</v>
      </c>
    </row>
    <row r="15" spans="1:7">
      <c r="A15" s="3" t="s">
        <v>35</v>
      </c>
      <c r="B15" s="30">
        <f>RISK_METRICS!E8</f>
        <v>418.4782608695653</v>
      </c>
      <c r="C15" s="30">
        <f t="shared" si="0"/>
        <v>481.25000000000006</v>
      </c>
      <c r="D15" s="30">
        <f t="shared" si="1"/>
        <v>564.94565217391323</v>
      </c>
      <c r="E15" s="30">
        <f t="shared" si="2"/>
        <v>690.48913043478274</v>
      </c>
      <c r="F15" s="30">
        <f t="shared" si="3"/>
        <v>272.01086956521743</v>
      </c>
      <c r="G15" s="31">
        <f t="shared" si="4"/>
        <v>0.64999999999999991</v>
      </c>
    </row>
    <row r="16" spans="1:7">
      <c r="A16" s="3" t="s">
        <v>36</v>
      </c>
      <c r="B16" s="30">
        <f>RISK_METRICS!E9</f>
        <v>230.39999999999998</v>
      </c>
      <c r="C16" s="30">
        <f t="shared" si="0"/>
        <v>264.95999999999998</v>
      </c>
      <c r="D16" s="30">
        <f t="shared" si="1"/>
        <v>311.03999999999996</v>
      </c>
      <c r="E16" s="30">
        <f t="shared" si="2"/>
        <v>380.15999999999997</v>
      </c>
      <c r="F16" s="30">
        <f t="shared" si="3"/>
        <v>149.76</v>
      </c>
      <c r="G16" s="31">
        <f t="shared" si="4"/>
        <v>0.65</v>
      </c>
    </row>
    <row r="17" spans="1:7">
      <c r="A17" s="3" t="s">
        <v>38</v>
      </c>
      <c r="B17" s="30">
        <f>RISK_METRICS!E10</f>
        <v>105.55999999999999</v>
      </c>
      <c r="C17" s="30">
        <f t="shared" si="0"/>
        <v>121.39399999999998</v>
      </c>
      <c r="D17" s="30">
        <f t="shared" si="1"/>
        <v>142.506</v>
      </c>
      <c r="E17" s="30">
        <f t="shared" si="2"/>
        <v>174.17399999999998</v>
      </c>
      <c r="F17" s="30">
        <f t="shared" si="3"/>
        <v>68.61399999999999</v>
      </c>
      <c r="G17" s="31">
        <f t="shared" si="4"/>
        <v>0.65</v>
      </c>
    </row>
    <row r="18" spans="1:7">
      <c r="A18" s="3" t="s">
        <v>39</v>
      </c>
      <c r="B18" s="30">
        <f>SUM(B13:B17)</f>
        <v>1126.177391304348</v>
      </c>
      <c r="C18" s="30">
        <f t="shared" ref="C18:F18" si="5">SUM(C13:C17)</f>
        <v>1295.104</v>
      </c>
      <c r="D18" s="30">
        <f t="shared" si="5"/>
        <v>1520.3394782608698</v>
      </c>
      <c r="E18" s="30">
        <f t="shared" si="5"/>
        <v>1858.1926956521738</v>
      </c>
      <c r="F18" s="30">
        <f t="shared" si="5"/>
        <v>732.01530434782615</v>
      </c>
      <c r="G18" s="31">
        <f>F18/B18</f>
        <v>0.64999999999999991</v>
      </c>
    </row>
  </sheetData>
  <mergeCells count="3">
    <mergeCell ref="A11:G11"/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2FD4-07DC-084B-BEEC-8CD2D9830EA6}">
  <dimension ref="A1:L19"/>
  <sheetViews>
    <sheetView tabSelected="1" topLeftCell="A3" workbookViewId="0">
      <selection activeCell="C28" sqref="C28"/>
    </sheetView>
  </sheetViews>
  <sheetFormatPr baseColWidth="10" defaultRowHeight="16"/>
  <cols>
    <col min="1" max="1" width="22.6640625" customWidth="1"/>
    <col min="2" max="2" width="33.33203125" customWidth="1"/>
    <col min="3" max="4" width="12.5" bestFit="1" customWidth="1"/>
    <col min="6" max="6" width="14.83203125" customWidth="1"/>
    <col min="7" max="7" width="37.5" bestFit="1" customWidth="1"/>
  </cols>
  <sheetData>
    <row r="1" spans="1:12">
      <c r="A1" t="s">
        <v>85</v>
      </c>
    </row>
    <row r="2" spans="1:12">
      <c r="A2" t="s">
        <v>86</v>
      </c>
    </row>
    <row r="4" spans="1:12">
      <c r="A4" s="14" t="s">
        <v>87</v>
      </c>
      <c r="B4" s="15"/>
      <c r="C4" s="16"/>
    </row>
    <row r="5" spans="1:12">
      <c r="A5" s="3" t="s">
        <v>88</v>
      </c>
      <c r="B5" s="3" t="s">
        <v>89</v>
      </c>
      <c r="C5" s="3" t="s">
        <v>90</v>
      </c>
    </row>
    <row r="6" spans="1:12" ht="34">
      <c r="A6" s="19" t="s">
        <v>91</v>
      </c>
      <c r="B6" s="26" t="s">
        <v>92</v>
      </c>
      <c r="C6" s="19" t="s">
        <v>93</v>
      </c>
    </row>
    <row r="7" spans="1:12" ht="34">
      <c r="A7" s="21" t="s">
        <v>94</v>
      </c>
      <c r="B7" s="27" t="s">
        <v>95</v>
      </c>
      <c r="C7" s="21" t="s">
        <v>96</v>
      </c>
    </row>
    <row r="8" spans="1:12" ht="34">
      <c r="A8" s="23" t="s">
        <v>97</v>
      </c>
      <c r="B8" s="28" t="s">
        <v>98</v>
      </c>
      <c r="C8" s="23" t="s">
        <v>96</v>
      </c>
    </row>
    <row r="10" spans="1:12">
      <c r="A10" s="14" t="s">
        <v>99</v>
      </c>
      <c r="B10" s="15"/>
      <c r="C10" s="15"/>
      <c r="D10" s="15"/>
      <c r="E10" s="15"/>
      <c r="F10" s="15"/>
      <c r="G10" s="16"/>
    </row>
    <row r="11" spans="1:12">
      <c r="A11" s="3" t="s">
        <v>24</v>
      </c>
      <c r="B11" s="3" t="s">
        <v>25</v>
      </c>
      <c r="C11" s="3" t="s">
        <v>100</v>
      </c>
      <c r="D11" s="3" t="s">
        <v>101</v>
      </c>
      <c r="E11" s="3" t="s">
        <v>102</v>
      </c>
      <c r="F11" s="3" t="s">
        <v>103</v>
      </c>
      <c r="G11" s="3" t="s">
        <v>104</v>
      </c>
    </row>
    <row r="12" spans="1:12" ht="18">
      <c r="A12" s="2" t="s">
        <v>31</v>
      </c>
      <c r="B12" s="32">
        <f>RISK_METRICS!B6</f>
        <v>3.0000000000000001E-3</v>
      </c>
      <c r="C12" s="3" t="str">
        <f>SCORECARD!G6</f>
        <v>Stage 1</v>
      </c>
      <c r="D12" s="3" t="str">
        <f>IF(C12="Stage 1","12-month ECL","Lifetime ECL")</f>
        <v>12-month ECL</v>
      </c>
      <c r="E12" s="30">
        <f>RISK_METRICS!E6</f>
        <v>117.39130434782609</v>
      </c>
      <c r="F12" s="31">
        <f>E12/E17</f>
        <v>0.10423873295117611</v>
      </c>
      <c r="G12" s="3" t="s">
        <v>107</v>
      </c>
    </row>
    <row r="13" spans="1:12">
      <c r="A13" s="3" t="s">
        <v>33</v>
      </c>
      <c r="B13" s="32">
        <f>RISK_METRICS!B7</f>
        <v>1.7999999999999999E-2</v>
      </c>
      <c r="C13" s="3" t="str">
        <f>SCORECARD!G7</f>
        <v>Stage 2</v>
      </c>
      <c r="D13" s="3" t="str">
        <f t="shared" ref="D13:D16" si="0">IF(C13="Stage 1","12-month ECL","Lifetime ECL")</f>
        <v>Lifetime ECL</v>
      </c>
      <c r="E13" s="30">
        <f>RISK_METRICS!E7</f>
        <v>254.34782608695653</v>
      </c>
      <c r="F13" s="31">
        <f>E13/E17</f>
        <v>0.22585058806088157</v>
      </c>
      <c r="G13" s="3" t="s">
        <v>108</v>
      </c>
    </row>
    <row r="14" spans="1:12">
      <c r="A14" s="3" t="s">
        <v>35</v>
      </c>
      <c r="B14" s="32">
        <f>RISK_METRICS!B8</f>
        <v>2.1000000000000001E-2</v>
      </c>
      <c r="C14" s="3" t="str">
        <f>SCORECARD!G8</f>
        <v>Stage 2</v>
      </c>
      <c r="D14" s="3" t="str">
        <f t="shared" si="0"/>
        <v>Lifetime ECL</v>
      </c>
      <c r="E14" s="30">
        <f>RISK_METRICS!E8</f>
        <v>418.4782608695653</v>
      </c>
      <c r="F14" s="31">
        <f>E14/E17</f>
        <v>0.37159177950187783</v>
      </c>
      <c r="G14" s="3" t="s">
        <v>109</v>
      </c>
    </row>
    <row r="15" spans="1:12" ht="18">
      <c r="A15" s="3" t="s">
        <v>36</v>
      </c>
      <c r="B15" s="32">
        <f>RISK_METRICS!B9</f>
        <v>3.2000000000000001E-2</v>
      </c>
      <c r="C15" s="3" t="str">
        <f>SCORECARD!G9</f>
        <v>Stage 2</v>
      </c>
      <c r="D15" s="3" t="str">
        <f t="shared" si="0"/>
        <v>Lifetime ECL</v>
      </c>
      <c r="E15" s="30">
        <f>RISK_METRICS!E9</f>
        <v>230.39999999999998</v>
      </c>
      <c r="F15" s="31">
        <f>E15/E17</f>
        <v>0.2045858865388416</v>
      </c>
      <c r="G15" s="3" t="s">
        <v>110</v>
      </c>
      <c r="L15" s="1"/>
    </row>
    <row r="16" spans="1:12">
      <c r="A16" s="3" t="s">
        <v>38</v>
      </c>
      <c r="B16" s="32">
        <f>RISK_METRICS!B10</f>
        <v>2.8000000000000001E-2</v>
      </c>
      <c r="C16" s="3" t="str">
        <f>SCORECARD!G10</f>
        <v>Stage 2</v>
      </c>
      <c r="D16" s="3" t="str">
        <f t="shared" si="0"/>
        <v>Lifetime ECL</v>
      </c>
      <c r="E16" s="30">
        <f>RISK_METRICS!E10</f>
        <v>105.55999999999999</v>
      </c>
      <c r="F16" s="31">
        <f>E16/E17</f>
        <v>9.3733012947222749E-2</v>
      </c>
      <c r="G16" s="3" t="s">
        <v>111</v>
      </c>
    </row>
    <row r="17" spans="1:7">
      <c r="A17" s="33" t="s">
        <v>105</v>
      </c>
      <c r="B17" s="3"/>
      <c r="C17" s="3"/>
      <c r="D17" s="3"/>
      <c r="E17" s="30">
        <f>SUM(E12:E16)</f>
        <v>1126.177391304348</v>
      </c>
      <c r="F17" s="31">
        <f>SUM(F12:F16)</f>
        <v>0.99999999999999978</v>
      </c>
      <c r="G17" s="3"/>
    </row>
    <row r="19" spans="1:7">
      <c r="A19" t="s">
        <v>106</v>
      </c>
    </row>
  </sheetData>
  <mergeCells count="2">
    <mergeCell ref="A4:C4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METHODOLOGY</vt:lpstr>
      <vt:lpstr>RISK_METRICS</vt:lpstr>
      <vt:lpstr>SCORECARD</vt:lpstr>
      <vt:lpstr>STRESS_TEST</vt:lpstr>
      <vt:lpstr>IFRS9_STAGING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Sojan</dc:creator>
  <cp:lastModifiedBy>Pallavi Sojan</cp:lastModifiedBy>
  <dcterms:created xsi:type="dcterms:W3CDTF">2026-07-03T20:35:52Z</dcterms:created>
  <dcterms:modified xsi:type="dcterms:W3CDTF">2026-07-03T22:46:20Z</dcterms:modified>
</cp:coreProperties>
</file>