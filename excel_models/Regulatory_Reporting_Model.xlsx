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llavisojan/Documents/Finance Project/excel_models/"/>
    </mc:Choice>
  </mc:AlternateContent>
  <xr:revisionPtr revIDLastSave="0" documentId="13_ncr:1_{E3BBB3A1-47E2-1C42-9646-471D84890AF2}" xr6:coauthVersionLast="47" xr6:coauthVersionMax="47" xr10:uidLastSave="{00000000-0000-0000-0000-000000000000}"/>
  <bookViews>
    <workbookView xWindow="16440" yWindow="660" windowWidth="17940" windowHeight="16940" activeTab="3" xr2:uid="{F7FD6D6C-9583-EF49-B2D2-39044B7092AC}"/>
  </bookViews>
  <sheets>
    <sheet name="COREP_OVERVIEW" sheetId="1" r:id="rId1"/>
    <sheet name="EXTERNAL_INPUTS" sheetId="8" r:id="rId2"/>
    <sheet name="OWN_FUNDS" sheetId="2" r:id="rId3"/>
    <sheet name="CAPITAL_REQUIREMENTS" sheetId="3" r:id="rId4"/>
    <sheet name="LEVERAGE RATIO" sheetId="4" r:id="rId5"/>
    <sheet name="FINREP_PL" sheetId="5" r:id="rId6"/>
    <sheet name="FINREP_BS" sheetId="6" r:id="rId7"/>
    <sheet name="DATA_QUALITY" sheetId="7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7" l="1"/>
  <c r="C7" i="7"/>
  <c r="C8" i="3"/>
  <c r="E8" i="3" s="1"/>
  <c r="B14" i="3"/>
  <c r="C19" i="6"/>
  <c r="B15" i="6"/>
  <c r="C14" i="6"/>
  <c r="B14" i="6"/>
  <c r="C13" i="6"/>
  <c r="B10" i="6"/>
  <c r="B9" i="6"/>
  <c r="C7" i="6"/>
  <c r="B15" i="5"/>
  <c r="B14" i="5"/>
  <c r="D14" i="5" s="1"/>
  <c r="E14" i="5" s="1"/>
  <c r="B13" i="5"/>
  <c r="C12" i="5"/>
  <c r="B11" i="5"/>
  <c r="C9" i="5"/>
  <c r="B9" i="5"/>
  <c r="C8" i="5"/>
  <c r="D29" i="8"/>
  <c r="B7" i="2" s="1"/>
  <c r="C29" i="8"/>
  <c r="D28" i="8"/>
  <c r="B18" i="6" s="1"/>
  <c r="C28" i="8"/>
  <c r="C18" i="6" s="1"/>
  <c r="C20" i="6" s="1"/>
  <c r="D27" i="8"/>
  <c r="C27" i="8"/>
  <c r="C15" i="6" s="1"/>
  <c r="C16" i="6" s="1"/>
  <c r="D26" i="8"/>
  <c r="C26" i="8"/>
  <c r="D25" i="8"/>
  <c r="B13" i="6" s="1"/>
  <c r="B16" i="6" s="1"/>
  <c r="C25" i="8"/>
  <c r="D24" i="8"/>
  <c r="B7" i="4" s="1"/>
  <c r="B9" i="4" s="1"/>
  <c r="C24" i="8"/>
  <c r="D23" i="8"/>
  <c r="C23" i="8"/>
  <c r="C10" i="6" s="1"/>
  <c r="D22" i="8"/>
  <c r="C22" i="8"/>
  <c r="C9" i="6" s="1"/>
  <c r="D21" i="8"/>
  <c r="C6" i="3" s="1"/>
  <c r="C21" i="8"/>
  <c r="C8" i="6" s="1"/>
  <c r="D20" i="8"/>
  <c r="B7" i="6" s="1"/>
  <c r="C20" i="8"/>
  <c r="D16" i="8"/>
  <c r="C11" i="7" s="1"/>
  <c r="C16" i="8"/>
  <c r="C15" i="5" s="1"/>
  <c r="D15" i="8"/>
  <c r="C15" i="8"/>
  <c r="C14" i="5" s="1"/>
  <c r="D14" i="8"/>
  <c r="C14" i="8"/>
  <c r="C13" i="5" s="1"/>
  <c r="D13" i="8"/>
  <c r="C10" i="7" s="1"/>
  <c r="C13" i="8"/>
  <c r="D12" i="8"/>
  <c r="C9" i="7" s="1"/>
  <c r="C12" i="8"/>
  <c r="C11" i="5" s="1"/>
  <c r="D11" i="8"/>
  <c r="B16" i="3" s="1"/>
  <c r="C11" i="8"/>
  <c r="B15" i="3" s="1"/>
  <c r="B17" i="3" s="1"/>
  <c r="B18" i="3" s="1"/>
  <c r="B11" i="8"/>
  <c r="D10" i="8"/>
  <c r="B10" i="5" s="1"/>
  <c r="C10" i="8"/>
  <c r="C10" i="5" s="1"/>
  <c r="D9" i="8"/>
  <c r="C9" i="8"/>
  <c r="D8" i="8"/>
  <c r="B8" i="5" s="1"/>
  <c r="C8" i="8"/>
  <c r="D7" i="8"/>
  <c r="B7" i="5" s="1"/>
  <c r="D7" i="5" s="1"/>
  <c r="E7" i="5" s="1"/>
  <c r="C7" i="8"/>
  <c r="C7" i="5" s="1"/>
  <c r="D6" i="8"/>
  <c r="B6" i="5" s="1"/>
  <c r="C6" i="8"/>
  <c r="C6" i="5" s="1"/>
  <c r="B11" i="7"/>
  <c r="B9" i="7"/>
  <c r="E9" i="3"/>
  <c r="E6" i="3" l="1"/>
  <c r="D6" i="5"/>
  <c r="E6" i="5" s="1"/>
  <c r="D10" i="5"/>
  <c r="E10" i="5" s="1"/>
  <c r="C11" i="6"/>
  <c r="D8" i="5"/>
  <c r="E8" i="5" s="1"/>
  <c r="B8" i="7"/>
  <c r="D8" i="7" s="1"/>
  <c r="B12" i="5"/>
  <c r="D12" i="5" s="1"/>
  <c r="E12" i="5" s="1"/>
  <c r="B19" i="6"/>
  <c r="B20" i="6" s="1"/>
  <c r="C7" i="3"/>
  <c r="E7" i="3" s="1"/>
  <c r="B8" i="6"/>
  <c r="B11" i="6" s="1"/>
  <c r="B6" i="2"/>
  <c r="D9" i="7"/>
  <c r="D11" i="7"/>
  <c r="C21" i="6"/>
  <c r="D11" i="5"/>
  <c r="E11" i="5" s="1"/>
  <c r="B10" i="7"/>
  <c r="D10" i="7" s="1"/>
  <c r="D15" i="5"/>
  <c r="E15" i="5" s="1"/>
  <c r="B7" i="7"/>
  <c r="D7" i="7" s="1"/>
  <c r="D9" i="5"/>
  <c r="E9" i="5" s="1"/>
  <c r="D13" i="5"/>
  <c r="E13" i="5" s="1"/>
  <c r="E10" i="3"/>
  <c r="B21" i="6" l="1"/>
  <c r="C10" i="3"/>
  <c r="B10" i="2"/>
  <c r="B13" i="2" l="1"/>
  <c r="C24" i="3"/>
  <c r="F24" i="3" s="1"/>
  <c r="E24" i="3" l="1"/>
  <c r="B16" i="2"/>
  <c r="C26" i="3" s="1"/>
  <c r="F26" i="3" s="1"/>
  <c r="B6" i="4"/>
  <c r="C25" i="3"/>
  <c r="F25" i="3" s="1"/>
  <c r="B10" i="4" l="1"/>
  <c r="B13" i="4" s="1"/>
  <c r="E25" i="3"/>
  <c r="E26" i="3"/>
  <c r="B12" i="4" l="1"/>
</calcChain>
</file>

<file path=xl/sharedStrings.xml><?xml version="1.0" encoding="utf-8"?>
<sst xmlns="http://schemas.openxmlformats.org/spreadsheetml/2006/main" count="281" uniqueCount="214">
  <si>
    <t>CALEDONIA BANK PLC — COREP CAPITAL ADEQUACY REPORTING</t>
  </si>
  <si>
    <t>Submitted quarterly to PRA within 30 days of period end | Framework: EBA ITS on Supervisory Reporting</t>
  </si>
  <si>
    <t>COREP RETURNS REFERENCE TABLE</t>
  </si>
  <si>
    <t>RETURN</t>
  </si>
  <si>
    <t>FULL NAME</t>
  </si>
  <si>
    <t>FREQUENCY</t>
  </si>
  <si>
    <t>WHAT IT COVERS</t>
  </si>
  <si>
    <t>REGULATORY BASIS</t>
  </si>
  <si>
    <t>C01</t>
  </si>
  <si>
    <t>Own Funds</t>
  </si>
  <si>
    <t>Quarterly</t>
  </si>
  <si>
    <t>CET1, AT1 Capital, Tier 2 Capital, Total Own Funds</t>
  </si>
  <si>
    <t>EBA ITS Art 4</t>
  </si>
  <si>
    <t>C02</t>
  </si>
  <si>
    <t>Capital Requirements</t>
  </si>
  <si>
    <t>Total RWA, minimum capital ratios, capital adequacy</t>
  </si>
  <si>
    <t>EBA ITS Art 5</t>
  </si>
  <si>
    <t>C07-C09</t>
  </si>
  <si>
    <t>Credit Risk</t>
  </si>
  <si>
    <t>Credit RWA by exposure class — mortgages, corporate, retail</t>
  </si>
  <si>
    <t>Basel III Art 112</t>
  </si>
  <si>
    <t>C16-C18</t>
  </si>
  <si>
    <t>Operational Risk</t>
  </si>
  <si>
    <t>OpRisk RWA using Basic Indicator Approach — 15% x gross income</t>
  </si>
  <si>
    <t>Basel III Art 315</t>
  </si>
  <si>
    <t>C47</t>
  </si>
  <si>
    <t>Leverage Ratio</t>
  </si>
  <si>
    <t>Tier 1 Capital / Total Exposure Measure — minimum 3.5%</t>
  </si>
  <si>
    <t>UK LRF 2015</t>
  </si>
  <si>
    <t>CALEDONIA BANK PLC   COREP C01 : OWN FUNDS CALCULATION</t>
  </si>
  <si>
    <t>Regulatory basis: CRR Articles 26-88 | PRA Rulebook: Capital Resources | Reporting period: FY2024</t>
  </si>
  <si>
    <t>CET1 CAPITAL — COMMON EQUITY TIER 1</t>
  </si>
  <si>
    <t>ITEM</t>
  </si>
  <si>
    <t>AMOUNT (£m)</t>
  </si>
  <si>
    <t>MINIMUM REQUIREMENT</t>
  </si>
  <si>
    <t>NOTES</t>
  </si>
  <si>
    <t>Share Capital</t>
  </si>
  <si>
    <t>Retained Earnings FY2024</t>
  </si>
  <si>
    <t>Other Comprehensive Income</t>
  </si>
  <si>
    <t>Regulatory Deductions</t>
  </si>
  <si>
    <t>TOTAL CET1 CAPITAL</t>
  </si>
  <si>
    <t>AT1 &amp; TIER 1 CAPITAL</t>
  </si>
  <si>
    <t>AT1 Capital (Additional Tier 1)</t>
  </si>
  <si>
    <t>TOTAL TIER 1 CAPITAL</t>
  </si>
  <si>
    <t>TIER 2 &amp; TOTAL OWN FUNDS</t>
  </si>
  <si>
    <t>Tier 2 Capital (Subordinated debt)</t>
  </si>
  <si>
    <t>TOTAL OWN FUNDS</t>
  </si>
  <si>
    <t>CALEDONIA BANK PLC — COREP C02 — CAPITAL REQUIREMENTS &amp; RWA</t>
  </si>
  <si>
    <t>Regulatory basis: CRR Articles 92-386 | Basel III Standardised Approach | Reporting period: FY2024</t>
  </si>
  <si>
    <t>SECTION A — CREDIT RISK RWA (STANDARDISED APPROACH)</t>
  </si>
  <si>
    <t>EXPOSURE CLASS</t>
  </si>
  <si>
    <t>RISK WEIGHT</t>
  </si>
  <si>
    <t>EXPOSURE (£m)</t>
  </si>
  <si>
    <t>RWA (£m)</t>
  </si>
  <si>
    <t>BASIS</t>
  </si>
  <si>
    <t>Retail Mortgages</t>
  </si>
  <si>
    <t>Basel III Art 125</t>
  </si>
  <si>
    <t>Corporate Loans</t>
  </si>
  <si>
    <t>Basel III Art 122</t>
  </si>
  <si>
    <t>Consumer Credit</t>
  </si>
  <si>
    <t>Basel III Art 123</t>
  </si>
  <si>
    <t>Sovereign (UK Gilts)</t>
  </si>
  <si>
    <t>Basel III Art 114</t>
  </si>
  <si>
    <t>TOTAL CREDIT RWA</t>
  </si>
  <si>
    <t>ALLOCATION (%)</t>
  </si>
  <si>
    <t>SECTION B — OPERATIONAL RISK RWA (BASIC INDICATOR APPROACH)</t>
  </si>
  <si>
    <t>Gross Income FY2022</t>
  </si>
  <si>
    <t>Gross Income FY2023</t>
  </si>
  <si>
    <t>Gross Income FY2024</t>
  </si>
  <si>
    <t>3-Year Average Gross Income</t>
  </si>
  <si>
    <t>OPERATIONAL RISK RWA</t>
  </si>
  <si>
    <t>Basic Indicator Approach — Average Gross Income x 15% per CRR Article 315</t>
  </si>
  <si>
    <t>Gross Income</t>
  </si>
  <si>
    <t>Value (£m)</t>
  </si>
  <si>
    <t>SECTION C — CAPITAL RATIOS SUMMARY</t>
  </si>
  <si>
    <t>RATIO</t>
  </si>
  <si>
    <t>FORMULA</t>
  </si>
  <si>
    <t>RESULT</t>
  </si>
  <si>
    <t>MINIMUM</t>
  </si>
  <si>
    <t>HEADROOM</t>
  </si>
  <si>
    <t>STATUS</t>
  </si>
  <si>
    <t>CET1 Ratio</t>
  </si>
  <si>
    <t>CET1 / Total RWA</t>
  </si>
  <si>
    <t>Tier 1 Ratio</t>
  </si>
  <si>
    <t>Tier 1 / Total RWA</t>
  </si>
  <si>
    <t>Total Capital Ratio</t>
  </si>
  <si>
    <t>Own Funds / Total RWA</t>
  </si>
  <si>
    <t>CALEDONIA BANK PLC — COREP C47 — UK LEVERAGE RATIO</t>
  </si>
  <si>
    <t>Regulatory basis: UK Leverage Ratio Framework 2015 | PRA Policy Statement PS21/21 | Reporting period: FY2024</t>
  </si>
  <si>
    <t>LEVERAGE RATIO CALCULATION</t>
  </si>
  <si>
    <t>VALUE (£m)</t>
  </si>
  <si>
    <t>Tier 1 Capital</t>
  </si>
  <si>
    <t>Linked from OWN_FUNDS sheet</t>
  </si>
  <si>
    <t>Total On-Balance Sheet Assets</t>
  </si>
  <si>
    <t>Off-Balance Sheet Commitments</t>
  </si>
  <si>
    <t>Hardcoded estimate</t>
  </si>
  <si>
    <t>Total Exposure Measure</t>
  </si>
  <si>
    <t>On BS + Off BS</t>
  </si>
  <si>
    <t>LEVERAGE RATIO</t>
  </si>
  <si>
    <t>=Tier 1 / Total Exposure</t>
  </si>
  <si>
    <t>UK Minimum Requirement</t>
  </si>
  <si>
    <t>UK Leverage Ratio Framework</t>
  </si>
  <si>
    <t>Headroom above minimum</t>
  </si>
  <si>
    <t>Must be positive</t>
  </si>
  <si>
    <t>Status</t>
  </si>
  <si>
    <t>Green if PASS, red if FAIL</t>
  </si>
  <si>
    <t>CALEDONIA BANK PLC — FINREP F02 — INCOME STATEMENT (REGULATORY FORMAT)</t>
  </si>
  <si>
    <t>Regulatory basis: EBA ITS on Supervisory Reporting | PRA Supervisory Statement SS34/15 | Reporting period: FY2024</t>
  </si>
  <si>
    <t>REGULATORY INCOME STATEMENT</t>
  </si>
  <si>
    <t>FINREP LINE ITEM</t>
  </si>
  <si>
    <t>FY2024 (£m)</t>
  </si>
  <si>
    <t>FY2023 (£m)</t>
  </si>
  <si>
    <t>CHANGE (£m)</t>
  </si>
  <si>
    <t>CHANGE %</t>
  </si>
  <si>
    <t>EBA REFERENCE</t>
  </si>
  <si>
    <t>Interest Income</t>
  </si>
  <si>
    <t>F02 row 010</t>
  </si>
  <si>
    <t>Interest Expense</t>
  </si>
  <si>
    <t>F02 row 020</t>
  </si>
  <si>
    <t>Net Interest Income</t>
  </si>
  <si>
    <t>F02 row 030</t>
  </si>
  <si>
    <t>Fee and Commission Income</t>
  </si>
  <si>
    <t>F02 row 200</t>
  </si>
  <si>
    <t>Administrative Expenses</t>
  </si>
  <si>
    <t>F02 row 300</t>
  </si>
  <si>
    <t>Impairment on Financial Assets</t>
  </si>
  <si>
    <t>F02 row 380</t>
  </si>
  <si>
    <t>Profit Before Tax</t>
  </si>
  <si>
    <t>F02 row 420</t>
  </si>
  <si>
    <t>Tax Expense</t>
  </si>
  <si>
    <t>F02 row 430</t>
  </si>
  <si>
    <t>Net Profit After Tax</t>
  </si>
  <si>
    <t>F02 row 440</t>
  </si>
  <si>
    <t>CALEDONIA BANK PLC — FINREP F01 — BALANCE SHEET (REGULATORY FORMAT)</t>
  </si>
  <si>
    <t>REGULATORY BALANCE SHEET</t>
  </si>
  <si>
    <t>ASSETS</t>
  </si>
  <si>
    <t>Cash and Central Bank Balances</t>
  </si>
  <si>
    <t>F01 row 010</t>
  </si>
  <si>
    <t>Loans and Advances to Customers</t>
  </si>
  <si>
    <t>F01 row 050</t>
  </si>
  <si>
    <t>Investment Securities</t>
  </si>
  <si>
    <t>F01 row 070</t>
  </si>
  <si>
    <t>Other Assets</t>
  </si>
  <si>
    <t>F01 row 300</t>
  </si>
  <si>
    <t>TOTAL ASSETS</t>
  </si>
  <si>
    <t>F01 row 380</t>
  </si>
  <si>
    <t>Must match FPA Balance Sheet</t>
  </si>
  <si>
    <t>LIABILITIES</t>
  </si>
  <si>
    <t>Customer Deposits</t>
  </si>
  <si>
    <t>Wholesale Funding</t>
  </si>
  <si>
    <t>Other Liabilities</t>
  </si>
  <si>
    <t>TOTAL LIABILITIES</t>
  </si>
  <si>
    <t>F01 row 100</t>
  </si>
  <si>
    <t>EQUITY</t>
  </si>
  <si>
    <t>Retained Earnings</t>
  </si>
  <si>
    <t>F01 row 020</t>
  </si>
  <si>
    <t>TOTAL EQUITY</t>
  </si>
  <si>
    <t>BALANCE CHECK</t>
  </si>
  <si>
    <t>CALEDONIA BANK PLC — DATA QUALITY &amp; REGULATORY RECONCILIATION</t>
  </si>
  <si>
    <t>Purpose: Reconcile FinRep regulatory returns to management accounts | Identify and document any reclassifications</t>
  </si>
  <si>
    <t>SECTION A — FINREP VS MANAGEMENT ACCOUNTS RECONCILIATION</t>
  </si>
  <si>
    <t>LINE ITEM</t>
  </si>
  <si>
    <t>FINREP (£m)</t>
  </si>
  <si>
    <t>MGMT ACCOUNTS (£m)</t>
  </si>
  <si>
    <t>DIFFERENCE (£m)</t>
  </si>
  <si>
    <t>EXPLANATION</t>
  </si>
  <si>
    <t>Total Operating Income</t>
  </si>
  <si>
    <t>Loan Loss Provisions</t>
  </si>
  <si>
    <t>Should be 0</t>
  </si>
  <si>
    <t>Trading Income reclassified within Total Operating Income — FinRep and management accounts now reconcile</t>
  </si>
  <si>
    <t>Trading Income</t>
  </si>
  <si>
    <t>F02 row 090</t>
  </si>
  <si>
    <t>BIA Alpha Factor (CRR Art 315)</t>
  </si>
  <si>
    <t>CALEDONIA BANK PLC — EXTERNAL INPUTS FROM FPA_PL_Model.xlsx</t>
  </si>
  <si>
    <t>All external links to the FPA model are consolidated on this sheet. Downstream sheets reference these cells only.</t>
  </si>
  <si>
    <t>SECTION A — P&amp;L ITEMS (PL_MODEL, £m)</t>
  </si>
  <si>
    <t>FY2022</t>
  </si>
  <si>
    <t>FY2023</t>
  </si>
  <si>
    <t>FY2024</t>
  </si>
  <si>
    <t>SOURCE ROW</t>
  </si>
  <si>
    <t>PL_MODEL row 4</t>
  </si>
  <si>
    <t>PL_MODEL row 5</t>
  </si>
  <si>
    <t>PL_MODEL row 6</t>
  </si>
  <si>
    <t>PL_MODEL row 7</t>
  </si>
  <si>
    <t>PL_MODEL row 8</t>
  </si>
  <si>
    <t>Total Operating Income (Gross Income)</t>
  </si>
  <si>
    <t>PL_MODEL row 10</t>
  </si>
  <si>
    <t>PL_MODEL row 16</t>
  </si>
  <si>
    <t>PL_MODEL row 18</t>
  </si>
  <si>
    <t>PL_MODEL row 19</t>
  </si>
  <si>
    <t>PL_MODEL row 20</t>
  </si>
  <si>
    <t>PL_MODEL row 21</t>
  </si>
  <si>
    <t>SECTION B — BALANCE SHEET ITEMS (BALANCE_SHEET, £m)</t>
  </si>
  <si>
    <t>BALANCE_SHEET row 4</t>
  </si>
  <si>
    <t>BALANCE_SHEET row 5</t>
  </si>
  <si>
    <t>BALANCE_SHEET row 6</t>
  </si>
  <si>
    <t>BALANCE_SHEET row 7</t>
  </si>
  <si>
    <t>BALANCE_SHEET row 8</t>
  </si>
  <si>
    <t>BALANCE_SHEET row 10</t>
  </si>
  <si>
    <t>BALANCE_SHEET row 11</t>
  </si>
  <si>
    <t>BALANCE_SHEET row 12</t>
  </si>
  <si>
    <t>BALANCE_SHEET row 15</t>
  </si>
  <si>
    <t>BALANCE_SHEET row 16</t>
  </si>
  <si>
    <t>Linked via EXTERNAL_INPUTS</t>
  </si>
  <si>
    <t>SECTION B — PRA SUBMISSION CALENDAR FY2024</t>
  </si>
  <si>
    <t>REPORTING PERIOD</t>
  </si>
  <si>
    <t>SUBMISSION DEADLINE</t>
  </si>
  <si>
    <t>COREP Q1 2024</t>
  </si>
  <si>
    <t>SUBMITTED</t>
  </si>
  <si>
    <t>COREP Q2 2024</t>
  </si>
  <si>
    <t>COREP Q3 2024</t>
  </si>
  <si>
    <t>COREP Q4 2024</t>
  </si>
  <si>
    <t>FinRep Annual 2024</t>
  </si>
  <si>
    <t>Note: All returns submitted within PRA deadlines. Solo entity submissions due T+30 days. Group consolidated submissions due T+45 days per EBA ITS Article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</si>
</sst>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rgb="FFFFFFFF"/>
      <name val="-webkit-standard"/>
    </font>
    <font>
      <sz val="12"/>
      <color theme="1"/>
      <name val="Calibri"/>
      <family val="2"/>
    </font>
    <font>
      <i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30549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0" fillId="0" borderId="1" xfId="0" applyBorder="1"/>
    <xf numFmtId="1" fontId="0" fillId="0" borderId="1" xfId="0" applyNumberFormat="1" applyBorder="1"/>
    <xf numFmtId="0" fontId="0" fillId="4" borderId="1" xfId="0" applyFill="1" applyBorder="1"/>
    <xf numFmtId="1" fontId="0" fillId="5" borderId="1" xfId="0" applyNumberFormat="1" applyFill="1" applyBorder="1"/>
    <xf numFmtId="10" fontId="0" fillId="0" borderId="1" xfId="0" applyNumberFormat="1" applyBorder="1"/>
    <xf numFmtId="9" fontId="0" fillId="0" borderId="1" xfId="0" applyNumberFormat="1" applyBorder="1"/>
    <xf numFmtId="0" fontId="6" fillId="0" borderId="0" xfId="0" applyFont="1"/>
    <xf numFmtId="0" fontId="0" fillId="0" borderId="0" xfId="0" applyAlignment="1">
      <alignment horizontal="center"/>
    </xf>
    <xf numFmtId="9" fontId="0" fillId="0" borderId="1" xfId="1" applyFont="1" applyBorder="1"/>
    <xf numFmtId="3" fontId="0" fillId="0" borderId="1" xfId="0" applyNumberFormat="1" applyBorder="1"/>
    <xf numFmtId="10" fontId="0" fillId="0" borderId="0" xfId="0" applyNumberFormat="1"/>
    <xf numFmtId="9" fontId="0" fillId="0" borderId="1" xfId="1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1" fontId="0" fillId="6" borderId="1" xfId="0" applyNumberFormat="1" applyFill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6" xfId="0" applyBorder="1"/>
    <xf numFmtId="9" fontId="0" fillId="7" borderId="0" xfId="0" applyNumberFormat="1" applyFill="1"/>
    <xf numFmtId="1" fontId="7" fillId="0" borderId="1" xfId="0" applyNumberFormat="1" applyFont="1" applyBorder="1" applyAlignment="1">
      <alignment horizontal="left"/>
    </xf>
    <xf numFmtId="10" fontId="0" fillId="0" borderId="1" xfId="0" applyNumberFormat="1" applyBorder="1" applyAlignment="1">
      <alignment horizontal="left"/>
    </xf>
    <xf numFmtId="10" fontId="7" fillId="0" borderId="1" xfId="1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8" fillId="0" borderId="0" xfId="0" applyFont="1"/>
    <xf numFmtId="0" fontId="9" fillId="9" borderId="0" xfId="0" applyFont="1" applyFill="1"/>
    <xf numFmtId="3" fontId="0" fillId="0" borderId="0" xfId="0" applyNumberFormat="1"/>
    <xf numFmtId="0" fontId="9" fillId="8" borderId="0" xfId="0" applyFont="1" applyFill="1"/>
    <xf numFmtId="15" fontId="0" fillId="0" borderId="1" xfId="0" applyNumberForma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4" fillId="5" borderId="2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/>
    </xf>
    <xf numFmtId="0" fontId="4" fillId="5" borderId="4" xfId="0" applyFont="1" applyFill="1" applyBorder="1" applyAlignment="1">
      <alignment horizontal="left"/>
    </xf>
    <xf numFmtId="0" fontId="4" fillId="5" borderId="5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allavisojan/Documents/Finance%20Project/excel_models/FPA_PL_Model.xlsx" TargetMode="External"/><Relationship Id="rId1" Type="http://schemas.openxmlformats.org/officeDocument/2006/relationships/externalLinkPath" Target="FPA_PL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GMT_SUMMARY"/>
      <sheetName val="PROJECT_SUMMARY"/>
      <sheetName val="RAW_DATA"/>
      <sheetName val="ASSUMPTIONS"/>
      <sheetName val="BALANCE_SHEET"/>
      <sheetName val="PL_MODEL"/>
      <sheetName val="CASH_FLOW"/>
      <sheetName val="BUDGET VS ACTUAL"/>
      <sheetName val="SCENARIO_ANALYSIS"/>
      <sheetName val="MODEL_VALIDATION"/>
      <sheetName val="CHARTS"/>
      <sheetName val="BI_DATA"/>
    </sheetNames>
    <sheetDataSet>
      <sheetData sheetId="0"/>
      <sheetData sheetId="1"/>
      <sheetData sheetId="2"/>
      <sheetData sheetId="3"/>
      <sheetData sheetId="4">
        <row r="4">
          <cell r="F4">
            <v>17948.127888475108</v>
          </cell>
          <cell r="G4">
            <v>19577.951808621408</v>
          </cell>
        </row>
        <row r="5">
          <cell r="F5">
            <v>140026.60505496047</v>
          </cell>
          <cell r="G5">
            <v>144927.53623188406</v>
          </cell>
        </row>
        <row r="6">
          <cell r="F6">
            <v>4200.7981516488144</v>
          </cell>
          <cell r="G6">
            <v>4347.826086956522</v>
          </cell>
        </row>
        <row r="7">
          <cell r="F7">
            <v>4200.7981516488144</v>
          </cell>
          <cell r="G7">
            <v>4347.826086956522</v>
          </cell>
        </row>
        <row r="8">
          <cell r="F8">
            <v>166376.32924673319</v>
          </cell>
          <cell r="G8">
            <v>173201.1402144185</v>
          </cell>
        </row>
        <row r="10">
          <cell r="F10">
            <v>126023.94454946443</v>
          </cell>
          <cell r="G10">
            <v>130434.78260869566</v>
          </cell>
        </row>
        <row r="11">
          <cell r="F11">
            <v>22684.310018903598</v>
          </cell>
          <cell r="G11">
            <v>23478.26086956522</v>
          </cell>
        </row>
        <row r="12">
          <cell r="F12">
            <v>7001.3302527480237</v>
          </cell>
          <cell r="G12">
            <v>7246.3768115942039</v>
          </cell>
        </row>
        <row r="15">
          <cell r="F15">
            <v>8000</v>
          </cell>
          <cell r="G15">
            <v>8000</v>
          </cell>
        </row>
        <row r="16">
          <cell r="F16">
            <v>2666.7444256171457</v>
          </cell>
          <cell r="G16">
            <v>4041.719924563391</v>
          </cell>
        </row>
      </sheetData>
      <sheetData sheetId="5">
        <row r="4">
          <cell r="F4">
            <v>8909.6478330882892</v>
          </cell>
          <cell r="G4">
            <v>9864.6135265700468</v>
          </cell>
        </row>
        <row r="5">
          <cell r="F5">
            <v>4521.2885948330195</v>
          </cell>
          <cell r="G5">
            <v>5110.5543478260879</v>
          </cell>
        </row>
        <row r="6">
          <cell r="F6">
            <v>4388.3592382552697</v>
          </cell>
          <cell r="G6">
            <v>4754.0591787439589</v>
          </cell>
        </row>
        <row r="7">
          <cell r="F7">
            <v>576.90961282643707</v>
          </cell>
          <cell r="G7">
            <v>597.10144927536237</v>
          </cell>
        </row>
        <row r="8">
          <cell r="F8">
            <v>219.4179619127635</v>
          </cell>
          <cell r="G8">
            <v>237.70295893719796</v>
          </cell>
        </row>
        <row r="10">
          <cell r="E10">
            <v>3455.9048103197583</v>
          </cell>
          <cell r="F10">
            <v>5184.6868129944705</v>
          </cell>
          <cell r="G10">
            <v>5588.8635869565196</v>
          </cell>
        </row>
        <row r="16">
          <cell r="F16">
            <v>1896.7498381160681</v>
          </cell>
          <cell r="G16">
            <v>1953.6523332595498</v>
          </cell>
        </row>
        <row r="18">
          <cell r="F18">
            <v>560.10642021984188</v>
          </cell>
          <cell r="G18">
            <v>579.71014492753625</v>
          </cell>
        </row>
        <row r="19">
          <cell r="F19">
            <v>2727.8305546585607</v>
          </cell>
          <cell r="G19">
            <v>3055.5011087694338</v>
          </cell>
        </row>
        <row r="20">
          <cell r="F20">
            <v>681.95763866464017</v>
          </cell>
          <cell r="G20">
            <v>763.87527719235845</v>
          </cell>
        </row>
        <row r="21">
          <cell r="F21">
            <v>2045.8729159939205</v>
          </cell>
          <cell r="G21">
            <v>2291.6258315770756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8CA9AB0-36B4-4049-AD5B-629068921BB6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483b0d7d-2581-43a8-be8a-e5beeb33367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6034A-4D85-2543-A5FC-EE72BFCCE945}">
  <dimension ref="A1:H12"/>
  <sheetViews>
    <sheetView topLeftCell="A2" workbookViewId="0">
      <selection activeCell="A5" sqref="A5:E13"/>
    </sheetView>
  </sheetViews>
  <sheetFormatPr baseColWidth="10" defaultRowHeight="16"/>
  <cols>
    <col min="2" max="2" width="19" bestFit="1" customWidth="1"/>
    <col min="3" max="3" width="12.83203125" bestFit="1" customWidth="1"/>
    <col min="4" max="4" width="56.6640625" bestFit="1" customWidth="1"/>
    <col min="5" max="5" width="20.5" bestFit="1" customWidth="1"/>
    <col min="8" max="8" width="13" customWidth="1"/>
  </cols>
  <sheetData>
    <row r="1" spans="1:8" ht="19">
      <c r="A1" s="38" t="s">
        <v>0</v>
      </c>
      <c r="B1" s="38"/>
      <c r="C1" s="38"/>
      <c r="D1" s="38"/>
      <c r="E1" s="38"/>
      <c r="F1" s="38"/>
    </row>
    <row r="3" spans="1:8">
      <c r="A3" s="39" t="s">
        <v>1</v>
      </c>
      <c r="B3" s="39"/>
      <c r="C3" s="39"/>
      <c r="D3" s="39"/>
      <c r="E3" s="39"/>
      <c r="F3" s="39"/>
      <c r="G3" s="39"/>
      <c r="H3" s="39"/>
    </row>
    <row r="5" spans="1:8" ht="19">
      <c r="A5" s="2" t="s">
        <v>2</v>
      </c>
      <c r="B5" s="2"/>
      <c r="C5" s="2"/>
      <c r="D5" s="1"/>
      <c r="E5" s="1"/>
      <c r="F5" s="1"/>
    </row>
    <row r="6" spans="1:8" ht="15" customHeight="1">
      <c r="A6" s="1"/>
      <c r="B6" s="1"/>
      <c r="C6" s="1"/>
      <c r="D6" s="1"/>
      <c r="E6" s="1"/>
      <c r="F6" s="1"/>
    </row>
    <row r="7" spans="1:8" ht="19">
      <c r="A7" s="3" t="s">
        <v>3</v>
      </c>
      <c r="B7" s="3" t="s">
        <v>4</v>
      </c>
      <c r="C7" s="3" t="s">
        <v>5</v>
      </c>
      <c r="D7" s="3" t="s">
        <v>6</v>
      </c>
      <c r="E7" s="3" t="s">
        <v>7</v>
      </c>
    </row>
    <row r="8" spans="1:8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</row>
    <row r="9" spans="1:8">
      <c r="A9" s="4" t="s">
        <v>13</v>
      </c>
      <c r="B9" s="4" t="s">
        <v>14</v>
      </c>
      <c r="C9" s="4" t="s">
        <v>10</v>
      </c>
      <c r="D9" s="4" t="s">
        <v>15</v>
      </c>
      <c r="E9" s="4" t="s">
        <v>16</v>
      </c>
    </row>
    <row r="10" spans="1:8">
      <c r="A10" s="4" t="s">
        <v>17</v>
      </c>
      <c r="B10" s="4" t="s">
        <v>18</v>
      </c>
      <c r="C10" s="4" t="s">
        <v>10</v>
      </c>
      <c r="D10" s="4" t="s">
        <v>19</v>
      </c>
      <c r="E10" s="4" t="s">
        <v>20</v>
      </c>
    </row>
    <row r="11" spans="1:8">
      <c r="A11" s="4" t="s">
        <v>21</v>
      </c>
      <c r="B11" s="4" t="s">
        <v>22</v>
      </c>
      <c r="C11" s="4" t="s">
        <v>10</v>
      </c>
      <c r="D11" s="4" t="s">
        <v>23</v>
      </c>
      <c r="E11" s="4" t="s">
        <v>24</v>
      </c>
    </row>
    <row r="12" spans="1:8">
      <c r="A12" s="4" t="s">
        <v>25</v>
      </c>
      <c r="B12" s="4" t="s">
        <v>26</v>
      </c>
      <c r="C12" s="4" t="s">
        <v>10</v>
      </c>
      <c r="D12" s="4" t="s">
        <v>27</v>
      </c>
      <c r="E12" s="4" t="s">
        <v>28</v>
      </c>
    </row>
  </sheetData>
  <mergeCells count="2">
    <mergeCell ref="A1:F1"/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9D1A0-47D8-5E43-A68C-75FB4A29DF4D}">
  <dimension ref="A1:E29"/>
  <sheetViews>
    <sheetView workbookViewId="0">
      <selection activeCell="D34" sqref="D34"/>
    </sheetView>
  </sheetViews>
  <sheetFormatPr baseColWidth="10" defaultRowHeight="16"/>
  <cols>
    <col min="1" max="1" width="40" customWidth="1"/>
    <col min="2" max="4" width="18.33203125" customWidth="1"/>
    <col min="5" max="5" width="25" customWidth="1"/>
  </cols>
  <sheetData>
    <row r="1" spans="1:5">
      <c r="A1" s="36" t="s">
        <v>173</v>
      </c>
    </row>
    <row r="2" spans="1:5">
      <c r="A2" s="33" t="s">
        <v>174</v>
      </c>
    </row>
    <row r="4" spans="1:5">
      <c r="A4" s="34" t="s">
        <v>175</v>
      </c>
    </row>
    <row r="5" spans="1:5">
      <c r="A5" s="1" t="s">
        <v>32</v>
      </c>
      <c r="B5" s="1" t="s">
        <v>176</v>
      </c>
      <c r="C5" s="1" t="s">
        <v>177</v>
      </c>
      <c r="D5" s="1" t="s">
        <v>178</v>
      </c>
      <c r="E5" s="1" t="s">
        <v>179</v>
      </c>
    </row>
    <row r="6" spans="1:5">
      <c r="A6" t="s">
        <v>115</v>
      </c>
      <c r="B6" s="35"/>
      <c r="C6" s="35">
        <f>[1]PL_MODEL!$F$4</f>
        <v>8909.6478330882892</v>
      </c>
      <c r="D6" s="35">
        <f>[1]PL_MODEL!$G$4</f>
        <v>9864.6135265700468</v>
      </c>
      <c r="E6" t="s">
        <v>180</v>
      </c>
    </row>
    <row r="7" spans="1:5">
      <c r="A7" t="s">
        <v>117</v>
      </c>
      <c r="B7" s="35"/>
      <c r="C7" s="35">
        <f>[1]PL_MODEL!$F$5</f>
        <v>4521.2885948330195</v>
      </c>
      <c r="D7" s="35">
        <f>[1]PL_MODEL!$G$5</f>
        <v>5110.5543478260879</v>
      </c>
      <c r="E7" t="s">
        <v>181</v>
      </c>
    </row>
    <row r="8" spans="1:5">
      <c r="A8" t="s">
        <v>119</v>
      </c>
      <c r="B8" s="35"/>
      <c r="C8" s="35">
        <f>[1]PL_MODEL!$F$6</f>
        <v>4388.3592382552697</v>
      </c>
      <c r="D8" s="35">
        <f>[1]PL_MODEL!$G$6</f>
        <v>4754.0591787439589</v>
      </c>
      <c r="E8" t="s">
        <v>182</v>
      </c>
    </row>
    <row r="9" spans="1:5">
      <c r="A9" t="s">
        <v>121</v>
      </c>
      <c r="B9" s="35"/>
      <c r="C9" s="35">
        <f>[1]PL_MODEL!$F$7</f>
        <v>576.90961282643707</v>
      </c>
      <c r="D9" s="35">
        <f>[1]PL_MODEL!$G$7</f>
        <v>597.10144927536237</v>
      </c>
      <c r="E9" t="s">
        <v>183</v>
      </c>
    </row>
    <row r="10" spans="1:5">
      <c r="A10" t="s">
        <v>170</v>
      </c>
      <c r="B10" s="35"/>
      <c r="C10" s="35">
        <f>[1]PL_MODEL!$F$8</f>
        <v>219.4179619127635</v>
      </c>
      <c r="D10" s="35">
        <f>[1]PL_MODEL!$G$8</f>
        <v>237.70295893719796</v>
      </c>
      <c r="E10" t="s">
        <v>184</v>
      </c>
    </row>
    <row r="11" spans="1:5">
      <c r="A11" t="s">
        <v>185</v>
      </c>
      <c r="B11" s="35">
        <f>[1]PL_MODEL!$E$10</f>
        <v>3455.9048103197583</v>
      </c>
      <c r="C11" s="35">
        <f>[1]PL_MODEL!$F$10</f>
        <v>5184.6868129944705</v>
      </c>
      <c r="D11" s="35">
        <f>[1]PL_MODEL!$G$10</f>
        <v>5588.8635869565196</v>
      </c>
      <c r="E11" t="s">
        <v>186</v>
      </c>
    </row>
    <row r="12" spans="1:5">
      <c r="A12" t="s">
        <v>123</v>
      </c>
      <c r="B12" s="35"/>
      <c r="C12" s="35">
        <f>[1]PL_MODEL!$F$16</f>
        <v>1896.7498381160681</v>
      </c>
      <c r="D12" s="35">
        <f>[1]PL_MODEL!$G$16</f>
        <v>1953.6523332595498</v>
      </c>
      <c r="E12" t="s">
        <v>187</v>
      </c>
    </row>
    <row r="13" spans="1:5">
      <c r="A13" t="s">
        <v>125</v>
      </c>
      <c r="B13" s="35"/>
      <c r="C13" s="35">
        <f>[1]PL_MODEL!$F$18</f>
        <v>560.10642021984188</v>
      </c>
      <c r="D13" s="35">
        <f>[1]PL_MODEL!$G$18</f>
        <v>579.71014492753625</v>
      </c>
      <c r="E13" t="s">
        <v>188</v>
      </c>
    </row>
    <row r="14" spans="1:5">
      <c r="A14" t="s">
        <v>127</v>
      </c>
      <c r="B14" s="35"/>
      <c r="C14" s="35">
        <f>[1]PL_MODEL!$F$19</f>
        <v>2727.8305546585607</v>
      </c>
      <c r="D14" s="35">
        <f>[1]PL_MODEL!$G$19</f>
        <v>3055.5011087694338</v>
      </c>
      <c r="E14" t="s">
        <v>189</v>
      </c>
    </row>
    <row r="15" spans="1:5">
      <c r="A15" t="s">
        <v>129</v>
      </c>
      <c r="B15" s="35"/>
      <c r="C15" s="35">
        <f>[1]PL_MODEL!$F$20</f>
        <v>681.95763866464017</v>
      </c>
      <c r="D15" s="35">
        <f>[1]PL_MODEL!$G$20</f>
        <v>763.87527719235845</v>
      </c>
      <c r="E15" t="s">
        <v>190</v>
      </c>
    </row>
    <row r="16" spans="1:5">
      <c r="A16" t="s">
        <v>131</v>
      </c>
      <c r="B16" s="35"/>
      <c r="C16" s="35">
        <f>[1]PL_MODEL!$F$21</f>
        <v>2045.8729159939205</v>
      </c>
      <c r="D16" s="35">
        <f>[1]PL_MODEL!$G$21</f>
        <v>2291.6258315770756</v>
      </c>
      <c r="E16" t="s">
        <v>191</v>
      </c>
    </row>
    <row r="18" spans="1:5">
      <c r="A18" s="34" t="s">
        <v>192</v>
      </c>
    </row>
    <row r="19" spans="1:5">
      <c r="A19" s="1" t="s">
        <v>32</v>
      </c>
      <c r="C19" s="1" t="s">
        <v>177</v>
      </c>
      <c r="D19" s="1" t="s">
        <v>178</v>
      </c>
      <c r="E19" s="1" t="s">
        <v>179</v>
      </c>
    </row>
    <row r="20" spans="1:5">
      <c r="A20" t="s">
        <v>136</v>
      </c>
      <c r="C20" s="35">
        <f>[1]BALANCE_SHEET!$F$4</f>
        <v>17948.127888475108</v>
      </c>
      <c r="D20" s="35">
        <f>[1]BALANCE_SHEET!$G$4</f>
        <v>19577.951808621408</v>
      </c>
      <c r="E20" t="s">
        <v>193</v>
      </c>
    </row>
    <row r="21" spans="1:5">
      <c r="A21" t="s">
        <v>138</v>
      </c>
      <c r="C21" s="35">
        <f>[1]BALANCE_SHEET!$F$5</f>
        <v>140026.60505496047</v>
      </c>
      <c r="D21" s="35">
        <f>[1]BALANCE_SHEET!$G$5</f>
        <v>144927.53623188406</v>
      </c>
      <c r="E21" t="s">
        <v>194</v>
      </c>
    </row>
    <row r="22" spans="1:5">
      <c r="A22" t="s">
        <v>140</v>
      </c>
      <c r="C22" s="35">
        <f>[1]BALANCE_SHEET!$F$6</f>
        <v>4200.7981516488144</v>
      </c>
      <c r="D22" s="35">
        <f>[1]BALANCE_SHEET!$G$6</f>
        <v>4347.826086956522</v>
      </c>
      <c r="E22" t="s">
        <v>195</v>
      </c>
    </row>
    <row r="23" spans="1:5">
      <c r="A23" t="s">
        <v>142</v>
      </c>
      <c r="C23" s="35">
        <f>[1]BALANCE_SHEET!$F$7</f>
        <v>4200.7981516488144</v>
      </c>
      <c r="D23" s="35">
        <f>[1]BALANCE_SHEET!$G$7</f>
        <v>4347.826086956522</v>
      </c>
      <c r="E23" t="s">
        <v>196</v>
      </c>
    </row>
    <row r="24" spans="1:5">
      <c r="A24" t="s">
        <v>93</v>
      </c>
      <c r="C24" s="35">
        <f>[1]BALANCE_SHEET!$F$8</f>
        <v>166376.32924673319</v>
      </c>
      <c r="D24" s="35">
        <f>[1]BALANCE_SHEET!$G$8</f>
        <v>173201.1402144185</v>
      </c>
      <c r="E24" t="s">
        <v>197</v>
      </c>
    </row>
    <row r="25" spans="1:5">
      <c r="A25" t="s">
        <v>148</v>
      </c>
      <c r="C25" s="35">
        <f>[1]BALANCE_SHEET!$F$10</f>
        <v>126023.94454946443</v>
      </c>
      <c r="D25" s="35">
        <f>[1]BALANCE_SHEET!$G$10</f>
        <v>130434.78260869566</v>
      </c>
      <c r="E25" t="s">
        <v>198</v>
      </c>
    </row>
    <row r="26" spans="1:5">
      <c r="A26" t="s">
        <v>149</v>
      </c>
      <c r="C26" s="35">
        <f>[1]BALANCE_SHEET!$F$11</f>
        <v>22684.310018903598</v>
      </c>
      <c r="D26" s="35">
        <f>[1]BALANCE_SHEET!$G$11</f>
        <v>23478.26086956522</v>
      </c>
      <c r="E26" t="s">
        <v>199</v>
      </c>
    </row>
    <row r="27" spans="1:5">
      <c r="A27" t="s">
        <v>150</v>
      </c>
      <c r="C27" s="35">
        <f>[1]BALANCE_SHEET!$F$12</f>
        <v>7001.3302527480237</v>
      </c>
      <c r="D27" s="35">
        <f>[1]BALANCE_SHEET!$G$12</f>
        <v>7246.3768115942039</v>
      </c>
      <c r="E27" t="s">
        <v>200</v>
      </c>
    </row>
    <row r="28" spans="1:5">
      <c r="A28" t="s">
        <v>36</v>
      </c>
      <c r="C28" s="35">
        <f>[1]BALANCE_SHEET!$F$15</f>
        <v>8000</v>
      </c>
      <c r="D28" s="35">
        <f>[1]BALANCE_SHEET!$G$15</f>
        <v>8000</v>
      </c>
      <c r="E28" t="s">
        <v>201</v>
      </c>
    </row>
    <row r="29" spans="1:5">
      <c r="A29" t="s">
        <v>154</v>
      </c>
      <c r="C29" s="35">
        <f>[1]BALANCE_SHEET!$F$16</f>
        <v>2666.7444256171457</v>
      </c>
      <c r="D29" s="35">
        <f>[1]BALANCE_SHEET!$G$16</f>
        <v>4041.719924563391</v>
      </c>
      <c r="E29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65E87-101B-4B47-9A6C-1893224A828C}">
  <dimension ref="A1:D16"/>
  <sheetViews>
    <sheetView workbookViewId="0">
      <selection activeCell="C21" sqref="C21"/>
    </sheetView>
  </sheetViews>
  <sheetFormatPr baseColWidth="10" defaultRowHeight="16"/>
  <cols>
    <col min="1" max="1" width="36.1640625" bestFit="1" customWidth="1"/>
    <col min="2" max="2" width="18" customWidth="1"/>
    <col min="3" max="3" width="23.1640625" bestFit="1" customWidth="1"/>
  </cols>
  <sheetData>
    <row r="1" spans="1:4">
      <c r="A1" s="40" t="s">
        <v>29</v>
      </c>
      <c r="B1" s="40"/>
      <c r="C1" s="40"/>
      <c r="D1" s="40"/>
    </row>
    <row r="2" spans="1:4">
      <c r="A2" s="40" t="s">
        <v>30</v>
      </c>
      <c r="B2" s="40"/>
      <c r="C2" s="40"/>
      <c r="D2" s="40"/>
    </row>
    <row r="4" spans="1:4">
      <c r="A4" s="44" t="s">
        <v>31</v>
      </c>
      <c r="B4" s="44"/>
      <c r="C4" s="44"/>
      <c r="D4" s="44"/>
    </row>
    <row r="5" spans="1:4">
      <c r="A5" s="4" t="s">
        <v>32</v>
      </c>
      <c r="B5" s="4" t="s">
        <v>33</v>
      </c>
      <c r="C5" s="4" t="s">
        <v>34</v>
      </c>
      <c r="D5" s="4" t="s">
        <v>35</v>
      </c>
    </row>
    <row r="6" spans="1:4">
      <c r="A6" s="4" t="s">
        <v>36</v>
      </c>
      <c r="B6" s="5">
        <f>EXTERNAL_INPUTS!D28</f>
        <v>8000</v>
      </c>
      <c r="C6" s="4"/>
      <c r="D6" s="4"/>
    </row>
    <row r="7" spans="1:4">
      <c r="A7" s="4" t="s">
        <v>37</v>
      </c>
      <c r="B7" s="5">
        <f>EXTERNAL_INPUTS!D29</f>
        <v>4041.719924563391</v>
      </c>
      <c r="C7" s="4"/>
      <c r="D7" s="4"/>
    </row>
    <row r="8" spans="1:4">
      <c r="A8" s="4" t="s">
        <v>38</v>
      </c>
      <c r="B8" s="6">
        <v>200</v>
      </c>
      <c r="C8" s="4"/>
      <c r="D8" s="4"/>
    </row>
    <row r="9" spans="1:4">
      <c r="A9" s="4" t="s">
        <v>39</v>
      </c>
      <c r="B9" s="6">
        <v>-500</v>
      </c>
      <c r="C9" s="4"/>
      <c r="D9" s="4"/>
    </row>
    <row r="10" spans="1:4">
      <c r="A10" s="4" t="s">
        <v>40</v>
      </c>
      <c r="B10" s="7">
        <f>SUM(B6:B9)</f>
        <v>11741.719924563391</v>
      </c>
      <c r="C10" s="8">
        <v>4.4999999999999998E-2</v>
      </c>
      <c r="D10" s="4"/>
    </row>
    <row r="11" spans="1:4">
      <c r="A11" s="41" t="s">
        <v>41</v>
      </c>
      <c r="B11" s="42"/>
      <c r="C11" s="42"/>
      <c r="D11" s="43"/>
    </row>
    <row r="12" spans="1:4">
      <c r="A12" s="4" t="s">
        <v>42</v>
      </c>
      <c r="B12" s="4">
        <v>1000</v>
      </c>
      <c r="C12" s="4"/>
      <c r="D12" s="4"/>
    </row>
    <row r="13" spans="1:4">
      <c r="A13" s="4" t="s">
        <v>43</v>
      </c>
      <c r="B13" s="5">
        <f>B10+B12</f>
        <v>12741.719924563391</v>
      </c>
      <c r="C13" s="9">
        <v>0.06</v>
      </c>
      <c r="D13" s="4"/>
    </row>
    <row r="14" spans="1:4">
      <c r="A14" s="41" t="s">
        <v>44</v>
      </c>
      <c r="B14" s="42"/>
      <c r="C14" s="42"/>
      <c r="D14" s="43"/>
    </row>
    <row r="15" spans="1:4">
      <c r="A15" s="4" t="s">
        <v>45</v>
      </c>
      <c r="B15" s="4">
        <v>2000</v>
      </c>
      <c r="C15" s="4"/>
      <c r="D15" s="4"/>
    </row>
    <row r="16" spans="1:4">
      <c r="A16" s="4" t="s">
        <v>46</v>
      </c>
      <c r="B16" s="5">
        <f>B13+B15</f>
        <v>14741.719924563391</v>
      </c>
      <c r="C16" s="9">
        <v>0.08</v>
      </c>
      <c r="D16" s="4"/>
    </row>
  </sheetData>
  <mergeCells count="5">
    <mergeCell ref="A2:D2"/>
    <mergeCell ref="A1:D1"/>
    <mergeCell ref="A11:D11"/>
    <mergeCell ref="A14:D14"/>
    <mergeCell ref="A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9360F-E723-4147-BC45-78AAD1072504}">
  <dimension ref="A1:K29"/>
  <sheetViews>
    <sheetView tabSelected="1" workbookViewId="0">
      <selection activeCell="E14" sqref="E14"/>
    </sheetView>
  </sheetViews>
  <sheetFormatPr baseColWidth="10" defaultRowHeight="16"/>
  <cols>
    <col min="1" max="1" width="28.83203125" customWidth="1"/>
    <col min="2" max="2" width="21.1640625" bestFit="1" customWidth="1"/>
    <col min="3" max="4" width="19.5" customWidth="1"/>
    <col min="5" max="5" width="20.33203125" bestFit="1" customWidth="1"/>
    <col min="6" max="6" width="16.33203125" customWidth="1"/>
    <col min="10" max="10" width="12.1640625" bestFit="1" customWidth="1"/>
    <col min="11" max="11" width="17.83203125" bestFit="1" customWidth="1"/>
  </cols>
  <sheetData>
    <row r="1" spans="1:8">
      <c r="A1" t="s">
        <v>47</v>
      </c>
    </row>
    <row r="2" spans="1:8">
      <c r="A2" s="45" t="s">
        <v>48</v>
      </c>
      <c r="B2" s="45"/>
      <c r="C2" s="45"/>
      <c r="D2" s="45"/>
      <c r="E2" s="45"/>
      <c r="F2" s="45"/>
      <c r="G2" s="45"/>
      <c r="H2" s="45"/>
    </row>
    <row r="4" spans="1:8">
      <c r="A4" t="s">
        <v>49</v>
      </c>
    </row>
    <row r="5" spans="1:8">
      <c r="A5" s="4" t="s">
        <v>50</v>
      </c>
      <c r="B5" s="4" t="s">
        <v>51</v>
      </c>
      <c r="C5" s="4" t="s">
        <v>52</v>
      </c>
      <c r="D5" s="4" t="s">
        <v>64</v>
      </c>
      <c r="E5" s="4" t="s">
        <v>53</v>
      </c>
      <c r="F5" s="4" t="s">
        <v>54</v>
      </c>
    </row>
    <row r="6" spans="1:8">
      <c r="A6" s="4" t="s">
        <v>55</v>
      </c>
      <c r="B6" s="9">
        <v>0.35</v>
      </c>
      <c r="C6" s="5">
        <f>EXTERNAL_INPUTS!$D$21*D6</f>
        <v>86956.521739130432</v>
      </c>
      <c r="D6" s="12">
        <v>0.6</v>
      </c>
      <c r="E6" s="5">
        <f>C6*B6</f>
        <v>30434.782608695648</v>
      </c>
      <c r="F6" s="4" t="s">
        <v>56</v>
      </c>
    </row>
    <row r="7" spans="1:8">
      <c r="A7" s="4" t="s">
        <v>57</v>
      </c>
      <c r="B7" s="9">
        <v>1</v>
      </c>
      <c r="C7" s="5">
        <f>EXTERNAL_INPUTS!$D$21*D7</f>
        <v>36231.884057971016</v>
      </c>
      <c r="D7" s="12">
        <v>0.25</v>
      </c>
      <c r="E7" s="5">
        <f>C7*B7</f>
        <v>36231.884057971016</v>
      </c>
      <c r="F7" s="4" t="s">
        <v>58</v>
      </c>
    </row>
    <row r="8" spans="1:8">
      <c r="A8" s="4" t="s">
        <v>59</v>
      </c>
      <c r="B8" s="9">
        <v>0.75</v>
      </c>
      <c r="C8" s="5">
        <f>EXTERNAL_INPUTS!$D$21*D8</f>
        <v>21739.130434782608</v>
      </c>
      <c r="D8" s="12">
        <v>0.15</v>
      </c>
      <c r="E8" s="5">
        <f>C8*B8</f>
        <v>16304.347826086956</v>
      </c>
      <c r="F8" s="4" t="s">
        <v>60</v>
      </c>
    </row>
    <row r="9" spans="1:8">
      <c r="A9" s="4" t="s">
        <v>61</v>
      </c>
      <c r="B9" s="9">
        <v>0</v>
      </c>
      <c r="C9" s="4">
        <v>1000</v>
      </c>
      <c r="D9" s="12"/>
      <c r="E9" s="5">
        <f>C9*B9</f>
        <v>0</v>
      </c>
      <c r="F9" s="4" t="s">
        <v>62</v>
      </c>
    </row>
    <row r="10" spans="1:8">
      <c r="A10" s="4" t="s">
        <v>63</v>
      </c>
      <c r="B10" s="9"/>
      <c r="C10" s="5">
        <f>SUM(C6:C9)</f>
        <v>145927.53623188403</v>
      </c>
      <c r="D10" s="5"/>
      <c r="E10" s="5">
        <f>SUM(E6:E9)</f>
        <v>82971.014492753617</v>
      </c>
      <c r="F10" s="4"/>
    </row>
    <row r="12" spans="1:8">
      <c r="A12" s="40" t="s">
        <v>65</v>
      </c>
      <c r="B12" s="40"/>
      <c r="C12" s="40"/>
      <c r="D12" s="40"/>
      <c r="E12" s="40"/>
      <c r="F12" s="40"/>
    </row>
    <row r="13" spans="1:8">
      <c r="A13" s="4" t="s">
        <v>72</v>
      </c>
      <c r="B13" s="4" t="s">
        <v>73</v>
      </c>
    </row>
    <row r="14" spans="1:8">
      <c r="A14" s="4" t="s">
        <v>66</v>
      </c>
      <c r="B14" s="13">
        <f>EXTERNAL_INPUTS!B11</f>
        <v>3455.9048103197583</v>
      </c>
    </row>
    <row r="15" spans="1:8">
      <c r="A15" s="4" t="s">
        <v>67</v>
      </c>
      <c r="B15" s="13">
        <f>EXTERNAL_INPUTS!C11</f>
        <v>5184.6868129944705</v>
      </c>
    </row>
    <row r="16" spans="1:8">
      <c r="A16" s="4" t="s">
        <v>68</v>
      </c>
      <c r="B16" s="13">
        <f>EXTERNAL_INPUTS!D11</f>
        <v>5588.8635869565196</v>
      </c>
    </row>
    <row r="17" spans="1:11">
      <c r="A17" s="4" t="s">
        <v>69</v>
      </c>
      <c r="B17" s="13">
        <f>AVERAGE(B14:B16)</f>
        <v>4743.1517367569168</v>
      </c>
    </row>
    <row r="18" spans="1:11">
      <c r="A18" s="4" t="s">
        <v>70</v>
      </c>
      <c r="B18" s="5">
        <f>B17*B19</f>
        <v>711.47276051353754</v>
      </c>
    </row>
    <row r="19" spans="1:11">
      <c r="A19" s="25" t="s">
        <v>172</v>
      </c>
      <c r="B19" s="26">
        <v>0.15</v>
      </c>
    </row>
    <row r="20" spans="1:11">
      <c r="A20" t="s">
        <v>71</v>
      </c>
    </row>
    <row r="22" spans="1:11">
      <c r="A22" t="s">
        <v>74</v>
      </c>
    </row>
    <row r="23" spans="1:11">
      <c r="A23" s="4" t="s">
        <v>75</v>
      </c>
      <c r="B23" s="4" t="s">
        <v>76</v>
      </c>
      <c r="C23" s="4" t="s">
        <v>77</v>
      </c>
      <c r="D23" s="4" t="s">
        <v>78</v>
      </c>
      <c r="E23" s="4" t="s">
        <v>79</v>
      </c>
      <c r="F23" s="4" t="s">
        <v>80</v>
      </c>
    </row>
    <row r="24" spans="1:11">
      <c r="A24" s="4" t="s">
        <v>81</v>
      </c>
      <c r="B24" s="4" t="s">
        <v>82</v>
      </c>
      <c r="C24" s="15">
        <f>OWN_FUNDS!B10/(CAPITAL_REQUIREMENTS!E10+B18)</f>
        <v>0.1403127501340487</v>
      </c>
      <c r="D24" s="16">
        <v>4.4999999999999998E-2</v>
      </c>
      <c r="E24" s="16">
        <f>C24-D24</f>
        <v>9.5312750134048704E-2</v>
      </c>
      <c r="F24" s="17" t="str">
        <f>IF(C24&gt;=D24,"PASS","FAIL")</f>
        <v>PASS</v>
      </c>
    </row>
    <row r="25" spans="1:11">
      <c r="A25" s="4" t="s">
        <v>83</v>
      </c>
      <c r="B25" s="4" t="s">
        <v>84</v>
      </c>
      <c r="C25" s="15">
        <f>OWN_FUNDS!B13/(CAPITAL_REQUIREMENTS!E10+CAPITAL_REQUIREMENTS!B18)</f>
        <v>0.15226268174845536</v>
      </c>
      <c r="D25" s="16">
        <v>0.06</v>
      </c>
      <c r="E25" s="16">
        <f>C25-D25</f>
        <v>9.2262681748455366E-2</v>
      </c>
      <c r="F25" s="17" t="str">
        <f>IF(C25&gt;=D25,"PASS","FAIL")</f>
        <v>PASS</v>
      </c>
    </row>
    <row r="26" spans="1:11">
      <c r="A26" s="4" t="s">
        <v>85</v>
      </c>
      <c r="B26" s="4" t="s">
        <v>86</v>
      </c>
      <c r="C26" s="15">
        <f>OWN_FUNDS!B16/(CAPITAL_REQUIREMENTS!E10+CAPITAL_REQUIREMENTS!B18)</f>
        <v>0.17616254497726871</v>
      </c>
      <c r="D26" s="16">
        <v>0.08</v>
      </c>
      <c r="E26" s="16">
        <f t="shared" ref="E26" si="0">C26-D26</f>
        <v>9.6162544977268713E-2</v>
      </c>
      <c r="F26" s="17" t="str">
        <f>IF(C26&gt;=D26,"PASS","FAIL")</f>
        <v>PASS</v>
      </c>
    </row>
    <row r="27" spans="1:11">
      <c r="K27" s="14"/>
    </row>
    <row r="28" spans="1:11">
      <c r="K28" s="14"/>
    </row>
    <row r="29" spans="1:11">
      <c r="K29" s="14"/>
    </row>
  </sheetData>
  <mergeCells count="2">
    <mergeCell ref="A2:H2"/>
    <mergeCell ref="A12:F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9C071-0574-1349-8BF8-6B8853E81968}">
  <dimension ref="A1:C13"/>
  <sheetViews>
    <sheetView workbookViewId="0">
      <selection activeCell="B13" sqref="B13"/>
    </sheetView>
  </sheetViews>
  <sheetFormatPr baseColWidth="10" defaultRowHeight="16"/>
  <cols>
    <col min="1" max="1" width="30.1640625" customWidth="1"/>
    <col min="2" max="2" width="22.5" customWidth="1"/>
    <col min="3" max="3" width="28.1640625" bestFit="1" customWidth="1"/>
  </cols>
  <sheetData>
    <row r="1" spans="1:3">
      <c r="A1" t="s">
        <v>87</v>
      </c>
    </row>
    <row r="2" spans="1:3">
      <c r="A2" t="s">
        <v>88</v>
      </c>
    </row>
    <row r="4" spans="1:3">
      <c r="A4" t="s">
        <v>89</v>
      </c>
    </row>
    <row r="5" spans="1:3">
      <c r="A5" s="4" t="s">
        <v>32</v>
      </c>
      <c r="B5" s="19" t="s">
        <v>90</v>
      </c>
      <c r="C5" s="19" t="s">
        <v>35</v>
      </c>
    </row>
    <row r="6" spans="1:3">
      <c r="A6" s="4" t="s">
        <v>91</v>
      </c>
      <c r="B6" s="27">
        <f>OWN_FUNDS!B13</f>
        <v>12741.719924563391</v>
      </c>
      <c r="C6" s="19" t="s">
        <v>92</v>
      </c>
    </row>
    <row r="7" spans="1:3">
      <c r="A7" s="4" t="s">
        <v>93</v>
      </c>
      <c r="B7" s="20">
        <f>EXTERNAL_INPUTS!D24</f>
        <v>173201.1402144185</v>
      </c>
      <c r="C7" s="19" t="s">
        <v>203</v>
      </c>
    </row>
    <row r="8" spans="1:3">
      <c r="A8" s="4" t="s">
        <v>94</v>
      </c>
      <c r="B8" s="19">
        <v>500</v>
      </c>
      <c r="C8" s="19" t="s">
        <v>95</v>
      </c>
    </row>
    <row r="9" spans="1:3">
      <c r="A9" s="4" t="s">
        <v>96</v>
      </c>
      <c r="B9" s="27">
        <f>B7+B8</f>
        <v>173701.1402144185</v>
      </c>
      <c r="C9" s="19" t="s">
        <v>97</v>
      </c>
    </row>
    <row r="10" spans="1:3">
      <c r="A10" s="18" t="s">
        <v>98</v>
      </c>
      <c r="B10" s="29">
        <f>B6/B9</f>
        <v>7.3354267616406427E-2</v>
      </c>
      <c r="C10" s="19" t="s">
        <v>99</v>
      </c>
    </row>
    <row r="11" spans="1:3">
      <c r="A11" s="4" t="s">
        <v>100</v>
      </c>
      <c r="B11" s="28">
        <v>3.5000000000000003E-2</v>
      </c>
      <c r="C11" s="19" t="s">
        <v>101</v>
      </c>
    </row>
    <row r="12" spans="1:3">
      <c r="A12" s="4" t="s">
        <v>102</v>
      </c>
      <c r="B12" s="29">
        <f>B10-B11</f>
        <v>3.8354267616406423E-2</v>
      </c>
      <c r="C12" s="19" t="s">
        <v>103</v>
      </c>
    </row>
    <row r="13" spans="1:3">
      <c r="A13" s="4" t="s">
        <v>104</v>
      </c>
      <c r="B13" s="30" t="str">
        <f>IF(B10&gt;=B11,"PASS","FAIL")</f>
        <v>PASS</v>
      </c>
      <c r="C13" s="19" t="s">
        <v>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A73D8-D635-3140-BC42-9C745ABF42A5}">
  <dimension ref="A1:F15"/>
  <sheetViews>
    <sheetView workbookViewId="0">
      <selection activeCell="B8" sqref="B8"/>
    </sheetView>
  </sheetViews>
  <sheetFormatPr baseColWidth="10" defaultRowHeight="16"/>
  <cols>
    <col min="1" max="1" width="27.6640625" customWidth="1"/>
    <col min="2" max="2" width="20.6640625" customWidth="1"/>
    <col min="3" max="3" width="17" customWidth="1"/>
    <col min="4" max="4" width="15.1640625" customWidth="1"/>
    <col min="5" max="5" width="12.5" customWidth="1"/>
    <col min="6" max="6" width="16.1640625" customWidth="1"/>
  </cols>
  <sheetData>
    <row r="1" spans="1:6">
      <c r="A1" t="s">
        <v>106</v>
      </c>
    </row>
    <row r="2" spans="1:6">
      <c r="A2" t="s">
        <v>107</v>
      </c>
    </row>
    <row r="4" spans="1:6">
      <c r="A4" s="32" t="s">
        <v>108</v>
      </c>
    </row>
    <row r="5" spans="1:6">
      <c r="A5" s="4" t="s">
        <v>109</v>
      </c>
      <c r="B5" s="17" t="s">
        <v>110</v>
      </c>
      <c r="C5" s="17" t="s">
        <v>111</v>
      </c>
      <c r="D5" s="17" t="s">
        <v>112</v>
      </c>
      <c r="E5" s="17" t="s">
        <v>113</v>
      </c>
      <c r="F5" s="17" t="s">
        <v>114</v>
      </c>
    </row>
    <row r="6" spans="1:6">
      <c r="A6" s="4" t="s">
        <v>115</v>
      </c>
      <c r="B6" s="21">
        <f>EXTERNAL_INPUTS!D6</f>
        <v>9864.6135265700468</v>
      </c>
      <c r="C6" s="21">
        <f>EXTERNAL_INPUTS!C6</f>
        <v>8909.6478330882892</v>
      </c>
      <c r="D6" s="21">
        <f>B6-C6</f>
        <v>954.96569348175763</v>
      </c>
      <c r="E6" s="22">
        <f>D6/ABS(C6)</f>
        <v>0.10718332658842528</v>
      </c>
      <c r="F6" s="17" t="s">
        <v>116</v>
      </c>
    </row>
    <row r="7" spans="1:6">
      <c r="A7" s="4" t="s">
        <v>117</v>
      </c>
      <c r="B7" s="21">
        <f>EXTERNAL_INPUTS!D7</f>
        <v>5110.5543478260879</v>
      </c>
      <c r="C7" s="21">
        <f>EXTERNAL_INPUTS!C7</f>
        <v>4521.2885948330195</v>
      </c>
      <c r="D7" s="21">
        <f t="shared" ref="D7:D15" si="0">B7-C7</f>
        <v>589.26575299306842</v>
      </c>
      <c r="E7" s="22">
        <f t="shared" ref="E7:E15" si="1">D7/ABS(C7)</f>
        <v>0.13033137359700686</v>
      </c>
      <c r="F7" s="17" t="s">
        <v>118</v>
      </c>
    </row>
    <row r="8" spans="1:6">
      <c r="A8" s="4" t="s">
        <v>119</v>
      </c>
      <c r="B8" s="21">
        <f>EXTERNAL_INPUTS!D8</f>
        <v>4754.0591787439589</v>
      </c>
      <c r="C8" s="21">
        <f>EXTERNAL_INPUTS!C8</f>
        <v>4388.3592382552697</v>
      </c>
      <c r="D8" s="21">
        <f t="shared" si="0"/>
        <v>365.69994048868921</v>
      </c>
      <c r="E8" s="22">
        <f t="shared" si="1"/>
        <v>8.3334093822748367E-2</v>
      </c>
      <c r="F8" s="17" t="s">
        <v>120</v>
      </c>
    </row>
    <row r="9" spans="1:6">
      <c r="A9" s="4" t="s">
        <v>121</v>
      </c>
      <c r="B9" s="21">
        <f>EXTERNAL_INPUTS!D9</f>
        <v>597.10144927536237</v>
      </c>
      <c r="C9" s="21">
        <f>EXTERNAL_INPUTS!C9</f>
        <v>576.90961282643707</v>
      </c>
      <c r="D9" s="21">
        <f t="shared" si="0"/>
        <v>20.191836448925301</v>
      </c>
      <c r="E9" s="22">
        <f t="shared" si="1"/>
        <v>3.5000000000000003E-2</v>
      </c>
      <c r="F9" s="17" t="s">
        <v>122</v>
      </c>
    </row>
    <row r="10" spans="1:6">
      <c r="A10" s="4" t="s">
        <v>170</v>
      </c>
      <c r="B10" s="21">
        <f>EXTERNAL_INPUTS!D10</f>
        <v>237.70295893719796</v>
      </c>
      <c r="C10" s="21">
        <f>EXTERNAL_INPUTS!C10</f>
        <v>219.4179619127635</v>
      </c>
      <c r="D10" s="21">
        <f>B10-C10</f>
        <v>18.28499702443446</v>
      </c>
      <c r="E10" s="22">
        <f>D10/ABS(C10)</f>
        <v>8.3334093822748367E-2</v>
      </c>
      <c r="F10" s="17" t="s">
        <v>171</v>
      </c>
    </row>
    <row r="11" spans="1:6">
      <c r="A11" s="4" t="s">
        <v>123</v>
      </c>
      <c r="B11" s="21">
        <f>EXTERNAL_INPUTS!D12</f>
        <v>1953.6523332595498</v>
      </c>
      <c r="C11" s="21">
        <f>EXTERNAL_INPUTS!C12</f>
        <v>1896.7498381160681</v>
      </c>
      <c r="D11" s="21">
        <f t="shared" si="0"/>
        <v>56.902495143481701</v>
      </c>
      <c r="E11" s="22">
        <f t="shared" si="1"/>
        <v>2.9999999999999818E-2</v>
      </c>
      <c r="F11" s="17" t="s">
        <v>124</v>
      </c>
    </row>
    <row r="12" spans="1:6">
      <c r="A12" s="4" t="s">
        <v>125</v>
      </c>
      <c r="B12" s="21">
        <f>EXTERNAL_INPUTS!D13</f>
        <v>579.71014492753625</v>
      </c>
      <c r="C12" s="21">
        <f>EXTERNAL_INPUTS!C13</f>
        <v>560.10642021984188</v>
      </c>
      <c r="D12" s="21">
        <f>B12-C12</f>
        <v>19.603724707694369</v>
      </c>
      <c r="E12" s="22">
        <f t="shared" si="1"/>
        <v>3.499999999999983E-2</v>
      </c>
      <c r="F12" s="17" t="s">
        <v>126</v>
      </c>
    </row>
    <row r="13" spans="1:6">
      <c r="A13" s="4" t="s">
        <v>127</v>
      </c>
      <c r="B13" s="21">
        <f>EXTERNAL_INPUTS!D14</f>
        <v>3055.5011087694338</v>
      </c>
      <c r="C13" s="21">
        <f>EXTERNAL_INPUTS!C14</f>
        <v>2727.8305546585607</v>
      </c>
      <c r="D13" s="21">
        <f t="shared" si="0"/>
        <v>327.67055411087313</v>
      </c>
      <c r="E13" s="22">
        <f t="shared" si="1"/>
        <v>0.12012130062524623</v>
      </c>
      <c r="F13" s="17" t="s">
        <v>128</v>
      </c>
    </row>
    <row r="14" spans="1:6">
      <c r="A14" s="4" t="s">
        <v>129</v>
      </c>
      <c r="B14" s="21">
        <f>EXTERNAL_INPUTS!D15</f>
        <v>763.87527719235845</v>
      </c>
      <c r="C14" s="21">
        <f>EXTERNAL_INPUTS!C15</f>
        <v>681.95763866464017</v>
      </c>
      <c r="D14" s="21">
        <f t="shared" si="0"/>
        <v>81.917638527718282</v>
      </c>
      <c r="E14" s="22">
        <f t="shared" si="1"/>
        <v>0.12012130062524623</v>
      </c>
      <c r="F14" s="17" t="s">
        <v>130</v>
      </c>
    </row>
    <row r="15" spans="1:6">
      <c r="A15" s="4" t="s">
        <v>131</v>
      </c>
      <c r="B15" s="21">
        <f>EXTERNAL_INPUTS!D16</f>
        <v>2291.6258315770756</v>
      </c>
      <c r="C15" s="21">
        <f>EXTERNAL_INPUTS!C16</f>
        <v>2045.8729159939205</v>
      </c>
      <c r="D15" s="21">
        <f t="shared" si="0"/>
        <v>245.75291558315507</v>
      </c>
      <c r="E15" s="22">
        <f t="shared" si="1"/>
        <v>0.12012130062524634</v>
      </c>
      <c r="F15" s="17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B933A-8E16-A24D-BAE3-1490D125D565}">
  <dimension ref="A1:H25"/>
  <sheetViews>
    <sheetView topLeftCell="A6" workbookViewId="0">
      <selection activeCell="D29" sqref="D29"/>
    </sheetView>
  </sheetViews>
  <sheetFormatPr baseColWidth="10" defaultRowHeight="16"/>
  <cols>
    <col min="1" max="1" width="30.33203125" customWidth="1"/>
    <col min="2" max="2" width="16.33203125" customWidth="1"/>
    <col min="3" max="3" width="14.33203125" customWidth="1"/>
    <col min="4" max="4" width="16.6640625" customWidth="1"/>
    <col min="5" max="5" width="27.33203125" bestFit="1" customWidth="1"/>
  </cols>
  <sheetData>
    <row r="1" spans="1:8">
      <c r="A1" t="s">
        <v>133</v>
      </c>
    </row>
    <row r="2" spans="1:8">
      <c r="A2" t="s">
        <v>107</v>
      </c>
    </row>
    <row r="4" spans="1:8">
      <c r="A4" s="4" t="s">
        <v>134</v>
      </c>
      <c r="B4" s="4"/>
      <c r="C4" s="4"/>
      <c r="D4" s="4"/>
      <c r="E4" s="4"/>
    </row>
    <row r="5" spans="1:8">
      <c r="A5" s="19" t="s">
        <v>109</v>
      </c>
      <c r="B5" s="19" t="s">
        <v>110</v>
      </c>
      <c r="C5" s="19" t="s">
        <v>111</v>
      </c>
      <c r="D5" s="19" t="s">
        <v>114</v>
      </c>
      <c r="E5" s="19" t="s">
        <v>35</v>
      </c>
    </row>
    <row r="6" spans="1:8">
      <c r="A6" s="46" t="s">
        <v>135</v>
      </c>
      <c r="B6" s="46"/>
      <c r="C6" s="46"/>
      <c r="D6" s="46"/>
      <c r="E6" s="46"/>
    </row>
    <row r="7" spans="1:8">
      <c r="A7" s="19" t="s">
        <v>136</v>
      </c>
      <c r="B7" s="20">
        <f>EXTERNAL_INPUTS!D20</f>
        <v>19577.951808621408</v>
      </c>
      <c r="C7" s="20">
        <f>EXTERNAL_INPUTS!C20</f>
        <v>17948.127888475108</v>
      </c>
      <c r="D7" s="19" t="s">
        <v>137</v>
      </c>
      <c r="E7" s="19" t="s">
        <v>203</v>
      </c>
    </row>
    <row r="8" spans="1:8">
      <c r="A8" s="19" t="s">
        <v>138</v>
      </c>
      <c r="B8" s="20">
        <f>EXTERNAL_INPUTS!D21</f>
        <v>144927.53623188406</v>
      </c>
      <c r="C8" s="20">
        <f>EXTERNAL_INPUTS!C21</f>
        <v>140026.60505496047</v>
      </c>
      <c r="D8" s="19" t="s">
        <v>139</v>
      </c>
      <c r="E8" s="19" t="s">
        <v>203</v>
      </c>
    </row>
    <row r="9" spans="1:8">
      <c r="A9" s="19" t="s">
        <v>140</v>
      </c>
      <c r="B9" s="20">
        <f>EXTERNAL_INPUTS!D22</f>
        <v>4347.826086956522</v>
      </c>
      <c r="C9" s="20">
        <f>EXTERNAL_INPUTS!C22</f>
        <v>4200.7981516488144</v>
      </c>
      <c r="D9" s="19" t="s">
        <v>141</v>
      </c>
      <c r="E9" s="19" t="s">
        <v>203</v>
      </c>
    </row>
    <row r="10" spans="1:8">
      <c r="A10" s="19" t="s">
        <v>142</v>
      </c>
      <c r="B10" s="20">
        <f>EXTERNAL_INPUTS!D23</f>
        <v>4347.826086956522</v>
      </c>
      <c r="C10" s="20">
        <f>EXTERNAL_INPUTS!C23</f>
        <v>4200.7981516488144</v>
      </c>
      <c r="D10" s="19" t="s">
        <v>143</v>
      </c>
      <c r="E10" s="19" t="s">
        <v>203</v>
      </c>
    </row>
    <row r="11" spans="1:8">
      <c r="A11" s="19" t="s">
        <v>144</v>
      </c>
      <c r="B11" s="20">
        <f>SUM(B7:B10)</f>
        <v>173201.1402144185</v>
      </c>
      <c r="C11" s="20">
        <f>SUM(C7:C10)</f>
        <v>166376.32924673319</v>
      </c>
      <c r="D11" s="19" t="s">
        <v>145</v>
      </c>
      <c r="E11" s="19" t="s">
        <v>146</v>
      </c>
    </row>
    <row r="12" spans="1:8">
      <c r="A12" s="46" t="s">
        <v>147</v>
      </c>
      <c r="B12" s="46"/>
      <c r="C12" s="46"/>
      <c r="D12" s="46"/>
      <c r="E12" s="46"/>
    </row>
    <row r="13" spans="1:8" ht="18">
      <c r="A13" s="4" t="s">
        <v>148</v>
      </c>
      <c r="B13" s="20">
        <f>EXTERNAL_INPUTS!D25</f>
        <v>130434.78260869566</v>
      </c>
      <c r="C13" s="20">
        <f>EXTERNAL_INPUTS!C25</f>
        <v>126023.94454946443</v>
      </c>
      <c r="D13" s="4" t="s">
        <v>137</v>
      </c>
      <c r="E13" s="19" t="s">
        <v>203</v>
      </c>
      <c r="H13" s="10"/>
    </row>
    <row r="14" spans="1:8">
      <c r="A14" s="4" t="s">
        <v>149</v>
      </c>
      <c r="B14" s="20">
        <f>EXTERNAL_INPUTS!D26</f>
        <v>23478.26086956522</v>
      </c>
      <c r="C14" s="20">
        <f>EXTERNAL_INPUTS!C26</f>
        <v>22684.310018903598</v>
      </c>
      <c r="D14" s="4" t="s">
        <v>139</v>
      </c>
      <c r="E14" s="19" t="s">
        <v>203</v>
      </c>
    </row>
    <row r="15" spans="1:8">
      <c r="A15" s="4" t="s">
        <v>150</v>
      </c>
      <c r="B15" s="20">
        <f>EXTERNAL_INPUTS!D27</f>
        <v>7246.3768115942039</v>
      </c>
      <c r="C15" s="20">
        <f>EXTERNAL_INPUTS!C27</f>
        <v>7001.3302527480237</v>
      </c>
      <c r="D15" s="4" t="s">
        <v>152</v>
      </c>
      <c r="E15" s="19" t="s">
        <v>203</v>
      </c>
    </row>
    <row r="16" spans="1:8">
      <c r="A16" s="4" t="s">
        <v>151</v>
      </c>
      <c r="B16" s="20">
        <f>SUM(B13:B15)</f>
        <v>161159.4202898551</v>
      </c>
      <c r="C16" s="20">
        <f>SUM(C13:C15)</f>
        <v>155709.58482111603</v>
      </c>
      <c r="D16" s="4" t="s">
        <v>143</v>
      </c>
      <c r="E16" s="19" t="s">
        <v>146</v>
      </c>
    </row>
    <row r="17" spans="1:5">
      <c r="A17" s="46" t="s">
        <v>153</v>
      </c>
      <c r="B17" s="46"/>
      <c r="C17" s="46"/>
      <c r="D17" s="46"/>
      <c r="E17" s="46"/>
    </row>
    <row r="18" spans="1:5">
      <c r="A18" s="4" t="s">
        <v>36</v>
      </c>
      <c r="B18" s="20">
        <f>EXTERNAL_INPUTS!D28</f>
        <v>8000</v>
      </c>
      <c r="C18" s="20">
        <f>EXTERNAL_INPUTS!C28</f>
        <v>8000</v>
      </c>
      <c r="D18" s="4" t="s">
        <v>137</v>
      </c>
      <c r="E18" s="4" t="s">
        <v>203</v>
      </c>
    </row>
    <row r="19" spans="1:5">
      <c r="A19" s="4" t="s">
        <v>154</v>
      </c>
      <c r="B19" s="20">
        <f>EXTERNAL_INPUTS!D29</f>
        <v>4041.719924563391</v>
      </c>
      <c r="C19" s="20">
        <f>EXTERNAL_INPUTS!C29</f>
        <v>2666.7444256171457</v>
      </c>
      <c r="D19" s="4" t="s">
        <v>155</v>
      </c>
      <c r="E19" s="4" t="s">
        <v>203</v>
      </c>
    </row>
    <row r="20" spans="1:5">
      <c r="A20" s="4" t="s">
        <v>156</v>
      </c>
      <c r="B20" s="20">
        <f>SUM(B18:B19)</f>
        <v>12041.719924563391</v>
      </c>
      <c r="C20" s="20">
        <f>SUM(C18:C19)</f>
        <v>10666.744425617146</v>
      </c>
      <c r="D20" s="4" t="s">
        <v>143</v>
      </c>
      <c r="E20" s="4" t="s">
        <v>146</v>
      </c>
    </row>
    <row r="21" spans="1:5">
      <c r="A21" s="4" t="s">
        <v>157</v>
      </c>
      <c r="B21" s="23">
        <f>B11-B16-B20</f>
        <v>0</v>
      </c>
      <c r="C21" s="23">
        <f>C11-C16-C20</f>
        <v>0</v>
      </c>
      <c r="D21" s="4"/>
      <c r="E21" s="4"/>
    </row>
    <row r="25" spans="1:5">
      <c r="E25" s="4"/>
    </row>
  </sheetData>
  <mergeCells count="3">
    <mergeCell ref="A6:E6"/>
    <mergeCell ref="A12:E12"/>
    <mergeCell ref="A17:E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27CC9-6631-9647-A11F-0119034BE9EB}">
  <dimension ref="A1:L23"/>
  <sheetViews>
    <sheetView workbookViewId="0">
      <selection activeCell="C29" sqref="C29"/>
    </sheetView>
  </sheetViews>
  <sheetFormatPr baseColWidth="10" defaultRowHeight="16"/>
  <cols>
    <col min="1" max="1" width="24.33203125" customWidth="1"/>
    <col min="2" max="2" width="18.1640625" style="11" customWidth="1"/>
    <col min="3" max="3" width="22.6640625" style="11" customWidth="1"/>
    <col min="4" max="4" width="16.33203125" customWidth="1"/>
    <col min="5" max="5" width="16" customWidth="1"/>
  </cols>
  <sheetData>
    <row r="1" spans="1:12">
      <c r="A1" t="s">
        <v>158</v>
      </c>
    </row>
    <row r="2" spans="1:12">
      <c r="A2" t="s">
        <v>159</v>
      </c>
    </row>
    <row r="4" spans="1:12">
      <c r="A4" t="s">
        <v>160</v>
      </c>
    </row>
    <row r="6" spans="1:12">
      <c r="A6" s="4" t="s">
        <v>161</v>
      </c>
      <c r="B6" s="17" t="s">
        <v>162</v>
      </c>
      <c r="C6" s="17" t="s">
        <v>163</v>
      </c>
      <c r="D6" s="4" t="s">
        <v>164</v>
      </c>
      <c r="E6" s="4" t="s">
        <v>165</v>
      </c>
    </row>
    <row r="7" spans="1:12">
      <c r="A7" s="31" t="s">
        <v>119</v>
      </c>
      <c r="B7" s="21">
        <f>FINREP_PL!B8</f>
        <v>4754.0591787439589</v>
      </c>
      <c r="C7" s="21">
        <f>EXTERNAL_INPUTS!D8</f>
        <v>4754.0591787439589</v>
      </c>
      <c r="D7" s="24">
        <f>B7-C7</f>
        <v>0</v>
      </c>
      <c r="E7" s="4" t="s">
        <v>168</v>
      </c>
    </row>
    <row r="8" spans="1:12">
      <c r="A8" s="4" t="s">
        <v>166</v>
      </c>
      <c r="B8" s="21">
        <f>FINREP_PL!B8+FINREP_PL!B9+FINREP_PL!B10</f>
        <v>5588.8635869565187</v>
      </c>
      <c r="C8" s="21">
        <f>EXTERNAL_INPUTS!D11</f>
        <v>5588.8635869565196</v>
      </c>
      <c r="D8" s="24">
        <f t="shared" ref="D8:D11" si="0">B8-C8</f>
        <v>0</v>
      </c>
      <c r="E8" s="4" t="s">
        <v>168</v>
      </c>
    </row>
    <row r="9" spans="1:12">
      <c r="A9" s="4" t="s">
        <v>123</v>
      </c>
      <c r="B9" s="21">
        <f>FINREP_PL!B11</f>
        <v>1953.6523332595498</v>
      </c>
      <c r="C9" s="21">
        <f>EXTERNAL_INPUTS!D12</f>
        <v>1953.6523332595498</v>
      </c>
      <c r="D9" s="24">
        <f t="shared" si="0"/>
        <v>0</v>
      </c>
      <c r="E9" s="4" t="s">
        <v>168</v>
      </c>
    </row>
    <row r="10" spans="1:12">
      <c r="A10" s="4" t="s">
        <v>167</v>
      </c>
      <c r="B10" s="21">
        <f>FINREP_PL!B12</f>
        <v>579.71014492753625</v>
      </c>
      <c r="C10" s="21">
        <f>EXTERNAL_INPUTS!D13</f>
        <v>579.71014492753625</v>
      </c>
      <c r="D10" s="24">
        <f t="shared" si="0"/>
        <v>0</v>
      </c>
      <c r="E10" s="4" t="s">
        <v>168</v>
      </c>
    </row>
    <row r="11" spans="1:12">
      <c r="A11" s="4" t="s">
        <v>131</v>
      </c>
      <c r="B11" s="21">
        <f>FINREP_PL!B15</f>
        <v>2291.6258315770756</v>
      </c>
      <c r="C11" s="21">
        <f>EXTERNAL_INPUTS!D16</f>
        <v>2291.6258315770756</v>
      </c>
      <c r="D11" s="24">
        <f t="shared" si="0"/>
        <v>0</v>
      </c>
      <c r="E11" s="4" t="s">
        <v>168</v>
      </c>
    </row>
    <row r="13" spans="1:12">
      <c r="A13" t="s">
        <v>169</v>
      </c>
    </row>
    <row r="15" spans="1:12" ht="18">
      <c r="A15" t="s">
        <v>204</v>
      </c>
      <c r="K15" s="10"/>
    </row>
    <row r="16" spans="1:12" ht="18">
      <c r="A16" s="4" t="s">
        <v>3</v>
      </c>
      <c r="B16" s="17" t="s">
        <v>205</v>
      </c>
      <c r="C16" s="17" t="s">
        <v>206</v>
      </c>
      <c r="D16" s="4" t="s">
        <v>80</v>
      </c>
      <c r="L16" s="10"/>
    </row>
    <row r="17" spans="1:4">
      <c r="A17" s="4" t="s">
        <v>207</v>
      </c>
      <c r="B17" s="37">
        <v>45382</v>
      </c>
      <c r="C17" s="37">
        <v>45412</v>
      </c>
      <c r="D17" s="4" t="s">
        <v>208</v>
      </c>
    </row>
    <row r="18" spans="1:4">
      <c r="A18" s="4" t="s">
        <v>209</v>
      </c>
      <c r="B18" s="37">
        <v>45473</v>
      </c>
      <c r="C18" s="37">
        <v>45503</v>
      </c>
      <c r="D18" s="4" t="s">
        <v>208</v>
      </c>
    </row>
    <row r="19" spans="1:4">
      <c r="A19" s="4" t="s">
        <v>210</v>
      </c>
      <c r="B19" s="37">
        <v>45565</v>
      </c>
      <c r="C19" s="37">
        <v>45595</v>
      </c>
      <c r="D19" s="4" t="s">
        <v>208</v>
      </c>
    </row>
    <row r="20" spans="1:4">
      <c r="A20" s="4" t="s">
        <v>211</v>
      </c>
      <c r="B20" s="37">
        <v>45657</v>
      </c>
      <c r="C20" s="37">
        <v>45687</v>
      </c>
      <c r="D20" s="4" t="s">
        <v>208</v>
      </c>
    </row>
    <row r="21" spans="1:4">
      <c r="A21" s="4" t="s">
        <v>212</v>
      </c>
      <c r="B21" s="37">
        <v>45657</v>
      </c>
      <c r="C21" s="37">
        <v>45716</v>
      </c>
      <c r="D21" s="4" t="s">
        <v>208</v>
      </c>
    </row>
    <row r="23" spans="1:4">
      <c r="A23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COREP_OVERVIEW</vt:lpstr>
      <vt:lpstr>EXTERNAL_INPUTS</vt:lpstr>
      <vt:lpstr>OWN_FUNDS</vt:lpstr>
      <vt:lpstr>CAPITAL_REQUIREMENTS</vt:lpstr>
      <vt:lpstr>LEVERAGE RATIO</vt:lpstr>
      <vt:lpstr>FINREP_PL</vt:lpstr>
      <vt:lpstr>FINREP_BS</vt:lpstr>
      <vt:lpstr>DATA_QUALITY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Sojan</dc:creator>
  <cp:lastModifiedBy>Pallavi Sojan</cp:lastModifiedBy>
  <dcterms:created xsi:type="dcterms:W3CDTF">2026-07-01T12:26:58Z</dcterms:created>
  <dcterms:modified xsi:type="dcterms:W3CDTF">2026-07-03T22:46:29Z</dcterms:modified>
</cp:coreProperties>
</file>