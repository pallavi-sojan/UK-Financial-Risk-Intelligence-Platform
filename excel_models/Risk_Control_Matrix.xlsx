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sojan/Documents/Finance Project/excel_models/"/>
    </mc:Choice>
  </mc:AlternateContent>
  <xr:revisionPtr revIDLastSave="0" documentId="13_ncr:1_{C8B9F526-0106-5943-8061-679ADC2A1A16}" xr6:coauthVersionLast="47" xr6:coauthVersionMax="47" xr10:uidLastSave="{00000000-0000-0000-0000-000000000000}"/>
  <bookViews>
    <workbookView xWindow="280" yWindow="660" windowWidth="27640" windowHeight="16440" xr2:uid="{C5AD60FB-C7D1-794B-A1E1-BCABA2F0F213}"/>
  </bookViews>
  <sheets>
    <sheet name="RISK_CONTROL_MATRIX" sheetId="1" r:id="rId1"/>
    <sheet name="RCM_SUMMARY" sheetId="3" r:id="rId2"/>
    <sheet name="CONTROLS_TESTING_LOG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B6" i="3"/>
  <c r="B12" i="3"/>
  <c r="B11" i="3"/>
  <c r="B10" i="3"/>
  <c r="B9" i="3"/>
  <c r="B8" i="3"/>
  <c r="B7" i="3"/>
</calcChain>
</file>

<file path=xl/sharedStrings.xml><?xml version="1.0" encoding="utf-8"?>
<sst xmlns="http://schemas.openxmlformats.org/spreadsheetml/2006/main" count="709" uniqueCount="311">
  <si>
    <t>CALEDONIA BANK PLC — RISK &amp; CONTROL MATRIX</t>
  </si>
  <si>
    <t>Audit: Data Governance &amp; Reporting Controls | Period: FY2024 | Standards: IIA Global Standards January 2025</t>
  </si>
  <si>
    <t>RISK &amp; CONTROL MATRIX</t>
  </si>
  <si>
    <t>CTRL_ID</t>
  </si>
  <si>
    <t>PROCESS_AREA</t>
  </si>
  <si>
    <t>RISK_DESCRIPTION</t>
  </si>
  <si>
    <t>RISK_CATEGORY</t>
  </si>
  <si>
    <t>INHERENT_RISK</t>
  </si>
  <si>
    <t>CONTROL_NAME</t>
  </si>
  <si>
    <t>CONTROL_OBJECTIVE</t>
  </si>
  <si>
    <t>CONTROL_TYPE</t>
  </si>
  <si>
    <t>OWNER</t>
  </si>
  <si>
    <t>FREQUENCY</t>
  </si>
  <si>
    <t>EVIDENCE</t>
  </si>
  <si>
    <t>DESIGN_EFFECTIVENESS</t>
  </si>
  <si>
    <t>OPERATING_EFFECTIVENESS</t>
  </si>
  <si>
    <t>OVERALL_RATING</t>
  </si>
  <si>
    <t>FINDING_REF</t>
  </si>
  <si>
    <t>NOTES</t>
  </si>
  <si>
    <t>PROCESS AREA 1 — DATA INTEGRITY</t>
  </si>
  <si>
    <t>C001</t>
  </si>
  <si>
    <t>Data Integrity</t>
  </si>
  <si>
    <t>Incomplete or incorrect data loaded into model</t>
  </si>
  <si>
    <t>Operational</t>
  </si>
  <si>
    <t>HIGH</t>
  </si>
  <si>
    <t>Daily data download reconciliation</t>
  </si>
  <si>
    <t>Ensure all BoE data downloads are complete and accurate</t>
  </si>
  <si>
    <t>Preventive</t>
  </si>
  <si>
    <t>Data Manager</t>
  </si>
  <si>
    <t>Daily</t>
  </si>
  <si>
    <t>Download logs, reconciliation reports</t>
  </si>
  <si>
    <t>Effective</t>
  </si>
  <si>
    <t>C002</t>
  </si>
  <si>
    <t>Data gaps distort financial analysis</t>
  </si>
  <si>
    <t>Missing value treatment procedure</t>
  </si>
  <si>
    <t>Ensure missing values are identified and treated consistently</t>
  </si>
  <si>
    <t>Monthly</t>
  </si>
  <si>
    <t>Missing value logs, treatment documentation</t>
  </si>
  <si>
    <t>C003</t>
  </si>
  <si>
    <t>Unauthorised changes to financial model</t>
  </si>
  <si>
    <t>Version control and sheet protection</t>
  </si>
  <si>
    <t>Prevent unauthorised changes to model inputs and formulas</t>
  </si>
  <si>
    <t>Finance Manager</t>
  </si>
  <si>
    <t>Ongoing</t>
  </si>
  <si>
    <t>Version history, sheet protection settings</t>
  </si>
  <si>
    <t>C004</t>
  </si>
  <si>
    <t>Date format errors in data pipeline</t>
  </si>
  <si>
    <t>MEDIUM</t>
  </si>
  <si>
    <t>Date standardisation check</t>
  </si>
  <si>
    <t>Ensure all dates are in consistent format across all datasets</t>
  </si>
  <si>
    <t>Detective</t>
  </si>
  <si>
    <t>Data validation reports</t>
  </si>
  <si>
    <t>C005</t>
  </si>
  <si>
    <t>Inconsistent column definitions across datasets</t>
  </si>
  <si>
    <t>Data dictionary maintenance</t>
  </si>
  <si>
    <t>Ensure all data fields are consistently defined and documented</t>
  </si>
  <si>
    <t>Quarterly</t>
  </si>
  <si>
    <t>Data dictionary, quarterly update records</t>
  </si>
  <si>
    <t>Partially Effective</t>
  </si>
  <si>
    <t>F001</t>
  </si>
  <si>
    <t>2 of 4 quarterly updates not completed</t>
  </si>
  <si>
    <t>PROCESS AREA 2 — FINANCIAL REPORTING</t>
  </si>
  <si>
    <t>C006</t>
  </si>
  <si>
    <t>Financial Reporting</t>
  </si>
  <si>
    <t>Formula errors in P&amp;L model producing incorrect outputs</t>
  </si>
  <si>
    <t>Financial</t>
  </si>
  <si>
    <t>Independent formula review</t>
  </si>
  <si>
    <t>Ensure all model formulas are independently reviewed and verified</t>
  </si>
  <si>
    <t>Annual</t>
  </si>
  <si>
    <t>Formula review checklist, sign-off documentation</t>
  </si>
  <si>
    <t>C007</t>
  </si>
  <si>
    <t>Manual hardcoded values not visible or auditable</t>
  </si>
  <si>
    <t>No hardcoded values in P&amp;L model</t>
  </si>
  <si>
    <t>Ensure all inputs link to ASSUMPTIONS tab — no hardcoded values</t>
  </si>
  <si>
    <t>Each model version</t>
  </si>
  <si>
    <t>Model review checklist</t>
  </si>
  <si>
    <t>Ineffective</t>
  </si>
  <si>
    <t>F002</t>
  </si>
  <si>
    <t>2 of 3 versions contained hardcoded Base Rate and Tax Rate</t>
  </si>
  <si>
    <t>C008</t>
  </si>
  <si>
    <t>Unapproved assumptions used in financial planning</t>
  </si>
  <si>
    <t>Budget assumption approval by CFO</t>
  </si>
  <si>
    <t>Ensure all budget assumptions approved by CFO and Board</t>
  </si>
  <si>
    <t>CFO</t>
  </si>
  <si>
    <t>CFO sign-off documentation, Board minutes</t>
  </si>
  <si>
    <t>C009</t>
  </si>
  <si>
    <t>Incomplete or misleading management reporting</t>
  </si>
  <si>
    <t>Variance commentary quality review</t>
  </si>
  <si>
    <t>Ensure management commentary is complete, accurate and timely</t>
  </si>
  <si>
    <t>Commentary review sign-off</t>
  </si>
  <si>
    <t>C010</t>
  </si>
  <si>
    <t>Insufficient stress testing coverage</t>
  </si>
  <si>
    <t>Severe stress scenario inclusion</t>
  </si>
  <si>
    <t>Ensure severe stress scenario included in all planning models</t>
  </si>
  <si>
    <t>CRO</t>
  </si>
  <si>
    <t>Scenario analysis documentation</t>
  </si>
  <si>
    <t>PROCESS AREA 3 — CREDIT RISK</t>
  </si>
  <si>
    <t>C011</t>
  </si>
  <si>
    <t>Credit Risk</t>
  </si>
  <si>
    <t>Outdated credit risk model produces incorrect outputs</t>
  </si>
  <si>
    <t>Annual scorecard model validation</t>
  </si>
  <si>
    <t>Ensure credit risk scorecard validated annually by independent team</t>
  </si>
  <si>
    <t>Validation report, sign-off documentation</t>
  </si>
  <si>
    <t>F003</t>
  </si>
  <si>
    <t>Annual validation not completed for FY2023 — no report found</t>
  </si>
  <si>
    <t>C012</t>
  </si>
  <si>
    <t>Incorrect ECL calculation due to staging errors</t>
  </si>
  <si>
    <t>IFRS 9 staging consistency check</t>
  </si>
  <si>
    <t>Ensure IFRS 9 staging applied consistently across all sectors</t>
  </si>
  <si>
    <t>Staging review documentation</t>
  </si>
  <si>
    <t>C013</t>
  </si>
  <si>
    <t>Stress testing not calibrated to regulatory standards</t>
  </si>
  <si>
    <t>BoE/PRA aligned stress scenarios</t>
  </si>
  <si>
    <t>Ensure stress scenarios aligned to BoE Annual Cyclical Scenario</t>
  </si>
  <si>
    <t>Stress test documentation, BoE ACS reference</t>
  </si>
  <si>
    <t>C014</t>
  </si>
  <si>
    <t>Excessive sector concentration undetected</t>
  </si>
  <si>
    <t>Concentration limits monitoring</t>
  </si>
  <si>
    <t>Monitor and report sector concentration against internal limits</t>
  </si>
  <si>
    <t>Concentration reports, breach notifications</t>
  </si>
  <si>
    <t>PROCESS AREA 4 — REGULATORY COMPLIANCE</t>
  </si>
  <si>
    <t>C015</t>
  </si>
  <si>
    <t>Regulatory Compliance</t>
  </si>
  <si>
    <t>Missed regulatory submission deadline</t>
  </si>
  <si>
    <t>Regulatory</t>
  </si>
  <si>
    <t>Compliance calendar with reminders</t>
  </si>
  <si>
    <t>Ensure all PRA/FCA submission deadlines are met</t>
  </si>
  <si>
    <t>CCO</t>
  </si>
  <si>
    <t>Compliance calendar, submission confirmations</t>
  </si>
  <si>
    <t>C016</t>
  </si>
  <si>
    <t>Errors in PRA regulatory submissions</t>
  </si>
  <si>
    <t>Two-person sign-off on regulatory returns</t>
  </si>
  <si>
    <t>Ensure all regulatory returns reviewed by two senior staff</t>
  </si>
  <si>
    <t>Each submission</t>
  </si>
  <si>
    <t>Sign-off documentation, submission confirmations</t>
  </si>
  <si>
    <t>C017</t>
  </si>
  <si>
    <t>FCA Consumer Duty breach</t>
  </si>
  <si>
    <t>Consumer Duty outcome monitoring</t>
  </si>
  <si>
    <t>Monitor customer outcomes against FCA Consumer Duty requirements</t>
  </si>
  <si>
    <t>Consumer Duty reports, outcome monitoring data</t>
  </si>
  <si>
    <t>C018</t>
  </si>
  <si>
    <t>Customer onboarded without adequate CDD</t>
  </si>
  <si>
    <t>Mandatory KYC checklist before new lending</t>
  </si>
  <si>
    <t>Ensure KYC checklist completed before any new customer onboarding</t>
  </si>
  <si>
    <t>MLRO</t>
  </si>
  <si>
    <t>Each onboarding</t>
  </si>
  <si>
    <t>KYC checklists, onboarding documentation</t>
  </si>
  <si>
    <t>PROCESS AREA 5 — AML &amp; FINANCIAL CRIME</t>
  </si>
  <si>
    <t>C019</t>
  </si>
  <si>
    <t>AML &amp; Financial Crime</t>
  </si>
  <si>
    <t>Outdated TM rules miss new money laundering typologies</t>
  </si>
  <si>
    <t>Financial Crime</t>
  </si>
  <si>
    <t>TM rules quarterly review and back-testing</t>
  </si>
  <si>
    <t>Ensure TM rules reviewed quarterly and back-tested against transactions</t>
  </si>
  <si>
    <t>Rules review documentation, back-testing results</t>
  </si>
  <si>
    <t>C020</t>
  </si>
  <si>
    <t>Overdue KYC reviews leave high-risk customers unmonitored</t>
  </si>
  <si>
    <t>KYC review schedule adherence</t>
  </si>
  <si>
    <t>Ensure all customers reviewed within their required CDD cycle</t>
  </si>
  <si>
    <t>KYC review schedule, completion reports</t>
  </si>
  <si>
    <t>C021</t>
  </si>
  <si>
    <t>Late SAR filing — POCA 2002 Section 330 breach</t>
  </si>
  <si>
    <t>SAR escalation SLA — MLRO within 48 hours</t>
  </si>
  <si>
    <t>Ensure all suspicious alerts escalated to MLRO within 48 hours</t>
  </si>
  <si>
    <t>Each alert</t>
  </si>
  <si>
    <t>SAR log, escalation timestamps</t>
  </si>
  <si>
    <t>C022</t>
  </si>
  <si>
    <t>Staff lack awareness of AML obligations</t>
  </si>
  <si>
    <t>Annual AML training completion</t>
  </si>
  <si>
    <t>Ensure all staff complete mandatory AML training by 31 December</t>
  </si>
  <si>
    <t>Training completion records, compliance certificates</t>
  </si>
  <si>
    <t>F004</t>
  </si>
  <si>
    <t>6 of 20 staff sampled (30%) had not completed training by deadline</t>
  </si>
  <si>
    <t>C023</t>
  </si>
  <si>
    <t>Sanctioned customer onboarded — OFSI breach</t>
  </si>
  <si>
    <t>PEP and sanctions screening at onboarding</t>
  </si>
  <si>
    <t>Ensure PEP and sanctions screening completed at customer onboarding</t>
  </si>
  <si>
    <t>Screening records, World-Check logs</t>
  </si>
  <si>
    <t>CALEDONIA BANK PLC — RCM SUMMARY</t>
  </si>
  <si>
    <t>CONTROL EFFECTIVENESS SUMMARY</t>
  </si>
  <si>
    <t>METRIC</t>
  </si>
  <si>
    <t>COUNT</t>
  </si>
  <si>
    <t>Total Controls</t>
  </si>
  <si>
    <t>Effective Controls</t>
  </si>
  <si>
    <t>Ineffective Controls</t>
  </si>
  <si>
    <t>Controls with Findings</t>
  </si>
  <si>
    <t>HIGH Risk Controls</t>
  </si>
  <si>
    <t>MEDIUM Risk Controls</t>
  </si>
  <si>
    <t>Pass Rate %</t>
  </si>
  <si>
    <t>FINDINGS SUMMARY</t>
  </si>
  <si>
    <t>FINDING REF</t>
  </si>
  <si>
    <t>CONTROL</t>
  </si>
  <si>
    <t>SEVERITY</t>
  </si>
  <si>
    <t>DESCRIPTION</t>
  </si>
  <si>
    <t>C005 — Data Dictionary</t>
  </si>
  <si>
    <t>LOW</t>
  </si>
  <si>
    <t>2 of 4 quarterly data dictionary updates not completed in FY2024</t>
  </si>
  <si>
    <t>C007 — No Hardcoded Values</t>
  </si>
  <si>
    <t>2 of 3 P&amp;L model versions contained hardcoded Base Rate and Tax Rate values</t>
  </si>
  <si>
    <t>C011 — Model Validation</t>
  </si>
  <si>
    <t>Annual credit risk model validation not completed for FY2023 — no report found</t>
  </si>
  <si>
    <t>C022 — AML Training</t>
  </si>
  <si>
    <t>6 of 20 staff sampled (30%) had not completed mandatory AML training by deadline</t>
  </si>
  <si>
    <t>CALEDONIA BANK PLC — CONTROLS TESTING LOG</t>
  </si>
  <si>
    <t>Audit: Data Governance &amp; Reporting Controls | Period: FY2024 | Standards: IIA Global Internal Audit Standards January 2025</t>
  </si>
  <si>
    <t>Sampling methodology: HIGH risk = 25 items minimum | MEDIUM risk = 15 items | LOW risk = 10 items | Basis: Random selection using Excel RAND() function per IIA Standards</t>
  </si>
  <si>
    <t>CONTROLS TESTING LOG</t>
  </si>
  <si>
    <t>TEST_DATE</t>
  </si>
  <si>
    <t>TESTER</t>
  </si>
  <si>
    <t>METHOD</t>
  </si>
  <si>
    <t>POPULATION</t>
  </si>
  <si>
    <t>SAMPLE</t>
  </si>
  <si>
    <t>SAMPLING_BASIS</t>
  </si>
  <si>
    <t>EXCEPTIONS</t>
  </si>
  <si>
    <t>PASS_FAIL</t>
  </si>
  <si>
    <t>EXCEPTION_DETAIL</t>
  </si>
  <si>
    <t>15/01/2025</t>
  </si>
  <si>
    <t>Pallavi Sojan</t>
  </si>
  <si>
    <t>Inspection</t>
  </si>
  <si>
    <t>52 weekly downloads</t>
  </si>
  <si>
    <t>25</t>
  </si>
  <si>
    <t>Random - RAND()</t>
  </si>
  <si>
    <t>0</t>
  </si>
  <si>
    <t>PASS</t>
  </si>
  <si>
    <t>No exceptions noted. All 25 downloads complete and reconciled.</t>
  </si>
  <si>
    <t>Re-performance</t>
  </si>
  <si>
    <t>12 monthly runs</t>
  </si>
  <si>
    <t>12</t>
  </si>
  <si>
    <t>Full population</t>
  </si>
  <si>
    <t>Missing value logs, treatment docs</t>
  </si>
  <si>
    <t>No exceptions noted. Missing values treated consistently in all 12 months.</t>
  </si>
  <si>
    <t>16/01/2025</t>
  </si>
  <si>
    <t>3 model versions</t>
  </si>
  <si>
    <t>3</t>
  </si>
  <si>
    <t>Version history, protection settings</t>
  </si>
  <si>
    <t>No exceptions noted. All versions protected and version controlled.</t>
  </si>
  <si>
    <t>12 monthly checks</t>
  </si>
  <si>
    <t>No exceptions noted. All date formats consistent across datasets.</t>
  </si>
  <si>
    <t>17/01/2025</t>
  </si>
  <si>
    <t>4 quarterly updates</t>
  </si>
  <si>
    <t>4</t>
  </si>
  <si>
    <t>Data dictionary, update records</t>
  </si>
  <si>
    <t>2</t>
  </si>
  <si>
    <t>FAIL</t>
  </si>
  <si>
    <t>Q4 2023 and Q1 2024 quarterly updates not completed. No documented owner assigned for data dictionary maintenance.</t>
  </si>
  <si>
    <t>20/01/2025</t>
  </si>
  <si>
    <t>Formula review checklist, sign-offs</t>
  </si>
  <si>
    <t>No exceptions noted. Independent review completed for all 3 versions.</t>
  </si>
  <si>
    <t>Model files, formula inspection</t>
  </si>
  <si>
    <t>2 of 3 versions contained hardcoded Base Rate (1.8%) and Tax Rate (25%) not linked to Assumptions tab.</t>
  </si>
  <si>
    <t>21/01/2025</t>
  </si>
  <si>
    <t>3 years of sign-offs</t>
  </si>
  <si>
    <t>CFO sign-off docs, Board minutes</t>
  </si>
  <si>
    <t>No exceptions noted. CFO and Board sign-off evidenced for all 3 years.</t>
  </si>
  <si>
    <t>12 monthly packs</t>
  </si>
  <si>
    <t>15</t>
  </si>
  <si>
    <t>Commentary review sign-offs</t>
  </si>
  <si>
    <t>No exceptions noted. All commentary packs reviewed and signed off.</t>
  </si>
  <si>
    <t>22/01/2025</t>
  </si>
  <si>
    <t>3 planning cycles</t>
  </si>
  <si>
    <t>Scenario analysis docs</t>
  </si>
  <si>
    <t>No exceptions noted. Severe stress scenario included in all planning cycles.</t>
  </si>
  <si>
    <t>27/01/2025</t>
  </si>
  <si>
    <t>1 annual validation</t>
  </si>
  <si>
    <t>1</t>
  </si>
  <si>
    <t>Validation report, sign-off docs</t>
  </si>
  <si>
    <t>Annual model validation not completed for FY2023. No validation report or sign-off found. Management confirmed deferred due to resource constraints.</t>
  </si>
  <si>
    <t>4 quarterly reviews</t>
  </si>
  <si>
    <t>No exceptions noted. IFRS 9 staging applied consistently across all sectors.</t>
  </si>
  <si>
    <t>28/01/2025</t>
  </si>
  <si>
    <t>3 stress test cycles</t>
  </si>
  <si>
    <t>Stress test docs, BoE ACS reference</t>
  </si>
  <si>
    <t>No exceptions noted. All stress scenarios aligned to BoE ACS.</t>
  </si>
  <si>
    <t>12 monthly reports</t>
  </si>
  <si>
    <t>Concentration reports</t>
  </si>
  <si>
    <t>No exceptions noted. Concentration limits monitored and reported monthly.</t>
  </si>
  <si>
    <t>03/02/2025</t>
  </si>
  <si>
    <t>5 submissions</t>
  </si>
  <si>
    <t>5</t>
  </si>
  <si>
    <t>Compliance calendar, submissions</t>
  </si>
  <si>
    <t>No exceptions noted. Zero missed PRA/FCA deadlines in FY2024.</t>
  </si>
  <si>
    <t>Sign-off documentation</t>
  </si>
  <si>
    <t>No exceptions noted. Two-person sign-off evidenced for all 5 submissions.</t>
  </si>
  <si>
    <t>04/02/2025</t>
  </si>
  <si>
    <t>4 quarterly reports</t>
  </si>
  <si>
    <t>Consumer Duty reports</t>
  </si>
  <si>
    <t>No exceptions noted. Consumer Duty outcomes monitored and reported quarterly.</t>
  </si>
  <si>
    <t>Mandatory KYC checklist at onboarding</t>
  </si>
  <si>
    <t>25 new customers</t>
  </si>
  <si>
    <t>KYC checklists, onboarding docs</t>
  </si>
  <si>
    <t>No exceptions noted. KYC checklist completed for all 25 customers sampled.</t>
  </si>
  <si>
    <t>TM rules quarterly review</t>
  </si>
  <si>
    <t>10/02/2025</t>
  </si>
  <si>
    <t>Rules review docs, back-testing</t>
  </si>
  <si>
    <t>No exceptions noted. TM rules reviewed and back-tested each quarter.</t>
  </si>
  <si>
    <t>25 customer reviews</t>
  </si>
  <si>
    <t>KYC review schedule, completion</t>
  </si>
  <si>
    <t>No exceptions noted. All 25 customers reviewed within their required cycle.</t>
  </si>
  <si>
    <t>SAR escalation SLA — MLRO 48hrs</t>
  </si>
  <si>
    <t>11/02/2025</t>
  </si>
  <si>
    <t>10 SAR escalations</t>
  </si>
  <si>
    <t>10</t>
  </si>
  <si>
    <t>No exceptions noted. All 10 SARs escalated to MLRO within 48 hours.</t>
  </si>
  <si>
    <t>20 staff records</t>
  </si>
  <si>
    <t>20</t>
  </si>
  <si>
    <t>Training completion records</t>
  </si>
  <si>
    <t>6</t>
  </si>
  <si>
    <t>6 of 20 staff sampled (30%) had not completed mandatory AML training by 31 December 2024 deadline. Training completion rate 70% vs 100% required.</t>
  </si>
  <si>
    <t>12/02/2025</t>
  </si>
  <si>
    <t>No exceptions noted. PEP and sanctions screening completed for all 25 customers.</t>
  </si>
  <si>
    <t>TESTING SUMMARY: Total Controls Tested: 23 | PASS: 19 | FAIL: 4 | Pass Rate: 83% | HIGH Risk Fails: 3 | LOW Risk Fails: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</si>
</sst>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Arial Unicode MS"/>
      <family val="2"/>
    </font>
    <font>
      <b/>
      <sz val="10"/>
      <color rgb="FF1F3864"/>
      <name val="Arial"/>
      <family val="2"/>
    </font>
    <font>
      <sz val="9"/>
      <color rgb="FF000000"/>
      <name val="Arial"/>
      <family val="2"/>
    </font>
    <font>
      <b/>
      <sz val="9"/>
      <color rgb="FFA32D2D"/>
      <name val="Arial"/>
      <family val="2"/>
    </font>
    <font>
      <b/>
      <sz val="9"/>
      <color rgb="FF1D5C1D"/>
      <name val="Arial"/>
      <family val="2"/>
    </font>
    <font>
      <b/>
      <sz val="9"/>
      <color rgb="FF854F0B"/>
      <name val="Arial"/>
      <family val="2"/>
    </font>
    <font>
      <b/>
      <sz val="14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FFFFFF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1D5C1D"/>
      <name val="Calibri"/>
      <family val="2"/>
      <scheme val="minor"/>
    </font>
    <font>
      <b/>
      <sz val="12"/>
      <color rgb="FFA32D2D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14"/>
      <color rgb="FF888888"/>
      <name val="Calibri"/>
      <family val="2"/>
      <scheme val="minor"/>
    </font>
    <font>
      <i/>
      <sz val="14"/>
      <color rgb="FF1F386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9A227"/>
        <bgColor rgb="FF99CC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1F3864"/>
        <bgColor rgb="FF33333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0" borderId="2" xfId="0" applyBorder="1"/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164" fontId="12" fillId="6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" fillId="8" borderId="0" xfId="0" applyFont="1" applyFill="1" applyAlignment="1">
      <alignment horizontal="center" vertical="center"/>
    </xf>
    <xf numFmtId="0" fontId="10" fillId="8" borderId="0" xfId="0" applyFont="1" applyFill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Risk_Control_Matrix1.xlsx" TargetMode="External"/><Relationship Id="rId2" Type="http://schemas.openxmlformats.org/officeDocument/2006/relationships/externalLinkPath" Target="/Users/pallavisojan/Downloads/Risk_Control_Matrix1.xlsx" TargetMode="External"/><Relationship Id="rId1" Type="http://schemas.openxmlformats.org/officeDocument/2006/relationships/externalLinkPath" Target="/Users/pallavisojan/Downloads/Risk_Control_Matrix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ISK_CONTROL_MATRIX"/>
      <sheetName val="RCM_SUMMARY"/>
    </sheetNames>
    <sheetDataSet>
      <sheetData sheetId="0">
        <row r="7">
          <cell r="A7" t="str">
            <v>C001</v>
          </cell>
          <cell r="E7" t="str">
            <v>HIGH</v>
          </cell>
          <cell r="N7" t="str">
            <v>Effective</v>
          </cell>
          <cell r="O7"/>
        </row>
        <row r="8">
          <cell r="A8" t="str">
            <v>C002</v>
          </cell>
          <cell r="E8" t="str">
            <v>HIGH</v>
          </cell>
          <cell r="N8" t="str">
            <v>Effective</v>
          </cell>
          <cell r="O8"/>
        </row>
        <row r="9">
          <cell r="A9" t="str">
            <v>C003</v>
          </cell>
          <cell r="E9" t="str">
            <v>HIGH</v>
          </cell>
          <cell r="N9" t="str">
            <v>Effective</v>
          </cell>
          <cell r="O9"/>
        </row>
        <row r="10">
          <cell r="A10" t="str">
            <v>C004</v>
          </cell>
          <cell r="E10" t="str">
            <v>MEDIUM</v>
          </cell>
          <cell r="N10" t="str">
            <v>Effective</v>
          </cell>
          <cell r="O10"/>
        </row>
        <row r="11">
          <cell r="A11" t="str">
            <v>C005</v>
          </cell>
          <cell r="E11" t="str">
            <v>MEDIUM</v>
          </cell>
          <cell r="N11" t="str">
            <v>Partially Effective</v>
          </cell>
          <cell r="O11" t="str">
            <v>F001</v>
          </cell>
        </row>
        <row r="12">
          <cell r="A12" t="str">
            <v>PROCESS AREA 2 — FINANCIAL REPORTING</v>
          </cell>
          <cell r="E12"/>
          <cell r="N12"/>
          <cell r="O12"/>
        </row>
        <row r="13">
          <cell r="A13" t="str">
            <v>C006</v>
          </cell>
          <cell r="E13" t="str">
            <v>HIGH</v>
          </cell>
          <cell r="N13" t="str">
            <v>Effective</v>
          </cell>
          <cell r="O13"/>
        </row>
        <row r="14">
          <cell r="A14" t="str">
            <v>C007</v>
          </cell>
          <cell r="E14" t="str">
            <v>HIGH</v>
          </cell>
          <cell r="N14" t="str">
            <v>Ineffective</v>
          </cell>
          <cell r="O14" t="str">
            <v>F002</v>
          </cell>
        </row>
        <row r="15">
          <cell r="A15" t="str">
            <v>C008</v>
          </cell>
          <cell r="E15" t="str">
            <v>HIGH</v>
          </cell>
          <cell r="N15" t="str">
            <v>Effective</v>
          </cell>
          <cell r="O15"/>
        </row>
        <row r="16">
          <cell r="A16" t="str">
            <v>C009</v>
          </cell>
          <cell r="E16" t="str">
            <v>MEDIUM</v>
          </cell>
          <cell r="N16" t="str">
            <v>Effective</v>
          </cell>
          <cell r="O16"/>
        </row>
        <row r="17">
          <cell r="A17" t="str">
            <v>C010</v>
          </cell>
          <cell r="E17" t="str">
            <v>MEDIUM</v>
          </cell>
          <cell r="N17" t="str">
            <v>Effective</v>
          </cell>
          <cell r="O17"/>
        </row>
        <row r="18">
          <cell r="A18" t="str">
            <v>PROCESS AREA 3 — CREDIT RISK</v>
          </cell>
          <cell r="E18"/>
          <cell r="N18"/>
          <cell r="O18"/>
        </row>
        <row r="19">
          <cell r="A19" t="str">
            <v>C011</v>
          </cell>
          <cell r="E19" t="str">
            <v>HIGH</v>
          </cell>
          <cell r="N19" t="str">
            <v>Ineffective</v>
          </cell>
          <cell r="O19" t="str">
            <v>F003</v>
          </cell>
        </row>
        <row r="20">
          <cell r="A20" t="str">
            <v>C012</v>
          </cell>
          <cell r="E20" t="str">
            <v>HIGH</v>
          </cell>
          <cell r="N20" t="str">
            <v>Effective</v>
          </cell>
          <cell r="O20"/>
        </row>
        <row r="21">
          <cell r="A21" t="str">
            <v>C013</v>
          </cell>
          <cell r="E21" t="str">
            <v>HIGH</v>
          </cell>
          <cell r="N21" t="str">
            <v>Effective</v>
          </cell>
          <cell r="O21"/>
        </row>
        <row r="22">
          <cell r="A22" t="str">
            <v>C014</v>
          </cell>
          <cell r="E22" t="str">
            <v>MEDIUM</v>
          </cell>
          <cell r="N22" t="str">
            <v>Effective</v>
          </cell>
          <cell r="O22"/>
        </row>
        <row r="23">
          <cell r="A23" t="str">
            <v>PROCESS AREA 4 — REGULATORY COMPLIANCE</v>
          </cell>
          <cell r="E23"/>
          <cell r="N23"/>
          <cell r="O23"/>
        </row>
        <row r="24">
          <cell r="A24" t="str">
            <v>C015</v>
          </cell>
          <cell r="E24" t="str">
            <v>HIGH</v>
          </cell>
          <cell r="N24" t="str">
            <v>Effective</v>
          </cell>
          <cell r="O24"/>
        </row>
        <row r="25">
          <cell r="A25" t="str">
            <v>C016</v>
          </cell>
          <cell r="E25" t="str">
            <v>HIGH</v>
          </cell>
          <cell r="N25" t="str">
            <v>Effective</v>
          </cell>
          <cell r="O25"/>
        </row>
        <row r="26">
          <cell r="A26" t="str">
            <v>C017</v>
          </cell>
          <cell r="E26" t="str">
            <v>HIGH</v>
          </cell>
          <cell r="N26" t="str">
            <v>Effective</v>
          </cell>
          <cell r="O26"/>
        </row>
        <row r="27">
          <cell r="A27" t="str">
            <v>C018</v>
          </cell>
          <cell r="E27" t="str">
            <v>HIGH</v>
          </cell>
          <cell r="N27" t="str">
            <v>Effective</v>
          </cell>
          <cell r="O27"/>
        </row>
        <row r="28">
          <cell r="A28" t="str">
            <v>PROCESS AREA 5 — AML &amp; FINANCIAL CRIME</v>
          </cell>
          <cell r="E28"/>
          <cell r="N28"/>
          <cell r="O28"/>
        </row>
        <row r="29">
          <cell r="A29" t="str">
            <v>C019</v>
          </cell>
          <cell r="E29" t="str">
            <v>HIGH</v>
          </cell>
          <cell r="N29" t="str">
            <v>Effective</v>
          </cell>
          <cell r="O29"/>
        </row>
        <row r="30">
          <cell r="A30" t="str">
            <v>C020</v>
          </cell>
          <cell r="E30" t="str">
            <v>HIGH</v>
          </cell>
          <cell r="N30" t="str">
            <v>Effective</v>
          </cell>
          <cell r="O30"/>
        </row>
        <row r="31">
          <cell r="A31" t="str">
            <v>C021</v>
          </cell>
          <cell r="E31" t="str">
            <v>HIGH</v>
          </cell>
          <cell r="N31" t="str">
            <v>Effective</v>
          </cell>
          <cell r="O31"/>
        </row>
        <row r="32">
          <cell r="A32" t="str">
            <v>C022</v>
          </cell>
          <cell r="E32" t="str">
            <v>HIGH</v>
          </cell>
          <cell r="N32" t="str">
            <v>Ineffective</v>
          </cell>
          <cell r="O32" t="str">
            <v>F004</v>
          </cell>
        </row>
        <row r="33">
          <cell r="A33" t="str">
            <v>C023</v>
          </cell>
          <cell r="E33" t="str">
            <v>HIGH</v>
          </cell>
          <cell r="N33" t="str">
            <v>Effective</v>
          </cell>
          <cell r="O33"/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A2CA89-3556-6E4E-843C-6418DE36B4F2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612cce7c-4a03-4b79-a9ef-e746061a8f1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F278C-BADA-EA4C-A8CE-9CE118DCCDBA}">
  <dimension ref="A1:P33"/>
  <sheetViews>
    <sheetView tabSelected="1" topLeftCell="A2" workbookViewId="0">
      <selection activeCell="M9" sqref="M9"/>
    </sheetView>
  </sheetViews>
  <sheetFormatPr baseColWidth="10" defaultRowHeight="16" x14ac:dyDescent="0.2"/>
  <cols>
    <col min="2" max="2" width="14.1640625" bestFit="1" customWidth="1"/>
    <col min="3" max="3" width="17" bestFit="1" customWidth="1"/>
    <col min="4" max="4" width="14.83203125" bestFit="1" customWidth="1"/>
    <col min="5" max="5" width="14.33203125" bestFit="1" customWidth="1"/>
    <col min="6" max="6" width="15.33203125" bestFit="1" customWidth="1"/>
    <col min="7" max="7" width="19.1640625" bestFit="1" customWidth="1"/>
    <col min="8" max="8" width="14.1640625" bestFit="1" customWidth="1"/>
    <col min="15" max="15" width="12.5" bestFit="1" customWidth="1"/>
  </cols>
  <sheetData>
    <row r="1" spans="1:16" ht="17" x14ac:dyDescent="0.25">
      <c r="A1" s="1" t="s">
        <v>0</v>
      </c>
    </row>
    <row r="2" spans="1:16" x14ac:dyDescent="0.2">
      <c r="A2" t="s">
        <v>1</v>
      </c>
    </row>
    <row r="4" spans="1:16" x14ac:dyDescent="0.2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</row>
    <row r="6" spans="1:16" x14ac:dyDescent="0.2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 ht="52" x14ac:dyDescent="0.2">
      <c r="A7" s="5" t="s">
        <v>20</v>
      </c>
      <c r="B7" s="6" t="s">
        <v>21</v>
      </c>
      <c r="C7" s="6" t="s">
        <v>22</v>
      </c>
      <c r="D7" s="6" t="s">
        <v>23</v>
      </c>
      <c r="E7" s="7" t="s">
        <v>24</v>
      </c>
      <c r="F7" s="6" t="s">
        <v>25</v>
      </c>
      <c r="G7" s="6" t="s">
        <v>26</v>
      </c>
      <c r="H7" s="6" t="s">
        <v>27</v>
      </c>
      <c r="I7" s="6" t="s">
        <v>28</v>
      </c>
      <c r="J7" s="6" t="s">
        <v>29</v>
      </c>
      <c r="K7" s="6" t="s">
        <v>30</v>
      </c>
      <c r="L7" s="8" t="s">
        <v>31</v>
      </c>
      <c r="M7" s="8" t="s">
        <v>31</v>
      </c>
      <c r="N7" s="8" t="s">
        <v>31</v>
      </c>
      <c r="O7" s="6"/>
      <c r="P7" s="6"/>
    </row>
    <row r="8" spans="1:16" ht="65" x14ac:dyDescent="0.2">
      <c r="A8" s="9" t="s">
        <v>32</v>
      </c>
      <c r="B8" s="10" t="s">
        <v>21</v>
      </c>
      <c r="C8" s="10" t="s">
        <v>33</v>
      </c>
      <c r="D8" s="10" t="s">
        <v>23</v>
      </c>
      <c r="E8" s="7" t="s">
        <v>24</v>
      </c>
      <c r="F8" s="10" t="s">
        <v>34</v>
      </c>
      <c r="G8" s="10" t="s">
        <v>35</v>
      </c>
      <c r="H8" s="10" t="s">
        <v>27</v>
      </c>
      <c r="I8" s="10" t="s">
        <v>28</v>
      </c>
      <c r="J8" s="10" t="s">
        <v>36</v>
      </c>
      <c r="K8" s="10" t="s">
        <v>37</v>
      </c>
      <c r="L8" s="8" t="s">
        <v>31</v>
      </c>
      <c r="M8" s="8" t="s">
        <v>31</v>
      </c>
      <c r="N8" s="8" t="s">
        <v>31</v>
      </c>
      <c r="O8" s="10"/>
      <c r="P8" s="10"/>
    </row>
    <row r="9" spans="1:16" ht="52" x14ac:dyDescent="0.2">
      <c r="A9" s="5" t="s">
        <v>38</v>
      </c>
      <c r="B9" s="6" t="s">
        <v>21</v>
      </c>
      <c r="C9" s="6" t="s">
        <v>39</v>
      </c>
      <c r="D9" s="6" t="s">
        <v>23</v>
      </c>
      <c r="E9" s="7" t="s">
        <v>24</v>
      </c>
      <c r="F9" s="6" t="s">
        <v>40</v>
      </c>
      <c r="G9" s="6" t="s">
        <v>41</v>
      </c>
      <c r="H9" s="6" t="s">
        <v>27</v>
      </c>
      <c r="I9" s="6" t="s">
        <v>42</v>
      </c>
      <c r="J9" s="6" t="s">
        <v>43</v>
      </c>
      <c r="K9" s="6" t="s">
        <v>44</v>
      </c>
      <c r="L9" s="8" t="s">
        <v>31</v>
      </c>
      <c r="M9" s="8" t="s">
        <v>31</v>
      </c>
      <c r="N9" s="8" t="s">
        <v>31</v>
      </c>
      <c r="O9" s="6"/>
      <c r="P9" s="6"/>
    </row>
    <row r="10" spans="1:16" ht="39" x14ac:dyDescent="0.2">
      <c r="A10" s="9" t="s">
        <v>45</v>
      </c>
      <c r="B10" s="10" t="s">
        <v>21</v>
      </c>
      <c r="C10" s="10" t="s">
        <v>46</v>
      </c>
      <c r="D10" s="10" t="s">
        <v>23</v>
      </c>
      <c r="E10" s="11" t="s">
        <v>47</v>
      </c>
      <c r="F10" s="10" t="s">
        <v>48</v>
      </c>
      <c r="G10" s="10" t="s">
        <v>49</v>
      </c>
      <c r="H10" s="10" t="s">
        <v>50</v>
      </c>
      <c r="I10" s="10" t="s">
        <v>28</v>
      </c>
      <c r="J10" s="10" t="s">
        <v>36</v>
      </c>
      <c r="K10" s="10" t="s">
        <v>51</v>
      </c>
      <c r="L10" s="8" t="s">
        <v>31</v>
      </c>
      <c r="M10" s="8" t="s">
        <v>31</v>
      </c>
      <c r="N10" s="8" t="s">
        <v>31</v>
      </c>
      <c r="O10" s="10"/>
      <c r="P10" s="10"/>
    </row>
    <row r="11" spans="1:16" ht="65" x14ac:dyDescent="0.2">
      <c r="A11" s="5" t="s">
        <v>52</v>
      </c>
      <c r="B11" s="6" t="s">
        <v>21</v>
      </c>
      <c r="C11" s="6" t="s">
        <v>53</v>
      </c>
      <c r="D11" s="6" t="s">
        <v>23</v>
      </c>
      <c r="E11" s="11" t="s">
        <v>47</v>
      </c>
      <c r="F11" s="6" t="s">
        <v>54</v>
      </c>
      <c r="G11" s="6" t="s">
        <v>55</v>
      </c>
      <c r="H11" s="6" t="s">
        <v>27</v>
      </c>
      <c r="I11" s="6" t="s">
        <v>28</v>
      </c>
      <c r="J11" s="6" t="s">
        <v>56</v>
      </c>
      <c r="K11" s="6" t="s">
        <v>57</v>
      </c>
      <c r="L11" s="8" t="s">
        <v>31</v>
      </c>
      <c r="M11" s="11" t="s">
        <v>58</v>
      </c>
      <c r="N11" s="11" t="s">
        <v>58</v>
      </c>
      <c r="O11" s="7" t="s">
        <v>59</v>
      </c>
      <c r="P11" s="6" t="s">
        <v>60</v>
      </c>
    </row>
    <row r="12" spans="1:16" x14ac:dyDescent="0.2">
      <c r="A12" s="35" t="s">
        <v>61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16" ht="78" x14ac:dyDescent="0.2">
      <c r="A13" s="5" t="s">
        <v>62</v>
      </c>
      <c r="B13" s="6" t="s">
        <v>63</v>
      </c>
      <c r="C13" s="6" t="s">
        <v>64</v>
      </c>
      <c r="D13" s="6" t="s">
        <v>65</v>
      </c>
      <c r="E13" s="7" t="s">
        <v>24</v>
      </c>
      <c r="F13" s="6" t="s">
        <v>66</v>
      </c>
      <c r="G13" s="6" t="s">
        <v>67</v>
      </c>
      <c r="H13" s="6" t="s">
        <v>50</v>
      </c>
      <c r="I13" s="6" t="s">
        <v>42</v>
      </c>
      <c r="J13" s="6" t="s">
        <v>68</v>
      </c>
      <c r="K13" s="6" t="s">
        <v>69</v>
      </c>
      <c r="L13" s="8" t="s">
        <v>31</v>
      </c>
      <c r="M13" s="8" t="s">
        <v>31</v>
      </c>
      <c r="N13" s="8" t="s">
        <v>31</v>
      </c>
      <c r="O13" s="6"/>
      <c r="P13" s="6"/>
    </row>
    <row r="14" spans="1:16" ht="78" x14ac:dyDescent="0.2">
      <c r="A14" s="9" t="s">
        <v>70</v>
      </c>
      <c r="B14" s="10" t="s">
        <v>63</v>
      </c>
      <c r="C14" s="10" t="s">
        <v>71</v>
      </c>
      <c r="D14" s="10" t="s">
        <v>65</v>
      </c>
      <c r="E14" s="7" t="s">
        <v>24</v>
      </c>
      <c r="F14" s="10" t="s">
        <v>72</v>
      </c>
      <c r="G14" s="10" t="s">
        <v>73</v>
      </c>
      <c r="H14" s="10" t="s">
        <v>27</v>
      </c>
      <c r="I14" s="10" t="s">
        <v>42</v>
      </c>
      <c r="J14" s="10" t="s">
        <v>74</v>
      </c>
      <c r="K14" s="10" t="s">
        <v>75</v>
      </c>
      <c r="L14" s="8" t="s">
        <v>31</v>
      </c>
      <c r="M14" s="7" t="s">
        <v>76</v>
      </c>
      <c r="N14" s="7" t="s">
        <v>76</v>
      </c>
      <c r="O14" s="7" t="s">
        <v>77</v>
      </c>
      <c r="P14" s="10" t="s">
        <v>78</v>
      </c>
    </row>
    <row r="15" spans="1:16" ht="52" x14ac:dyDescent="0.2">
      <c r="A15" s="5" t="s">
        <v>79</v>
      </c>
      <c r="B15" s="6" t="s">
        <v>63</v>
      </c>
      <c r="C15" s="6" t="s">
        <v>80</v>
      </c>
      <c r="D15" s="6" t="s">
        <v>65</v>
      </c>
      <c r="E15" s="7" t="s">
        <v>24</v>
      </c>
      <c r="F15" s="6" t="s">
        <v>81</v>
      </c>
      <c r="G15" s="6" t="s">
        <v>82</v>
      </c>
      <c r="H15" s="6" t="s">
        <v>27</v>
      </c>
      <c r="I15" s="6" t="s">
        <v>83</v>
      </c>
      <c r="J15" s="6" t="s">
        <v>68</v>
      </c>
      <c r="K15" s="6" t="s">
        <v>84</v>
      </c>
      <c r="L15" s="8" t="s">
        <v>31</v>
      </c>
      <c r="M15" s="8" t="s">
        <v>31</v>
      </c>
      <c r="N15" s="8" t="s">
        <v>31</v>
      </c>
      <c r="O15" s="6"/>
      <c r="P15" s="6"/>
    </row>
    <row r="16" spans="1:16" ht="39" x14ac:dyDescent="0.2">
      <c r="A16" s="9" t="s">
        <v>85</v>
      </c>
      <c r="B16" s="10" t="s">
        <v>63</v>
      </c>
      <c r="C16" s="10" t="s">
        <v>86</v>
      </c>
      <c r="D16" s="10" t="s">
        <v>65</v>
      </c>
      <c r="E16" s="11" t="s">
        <v>47</v>
      </c>
      <c r="F16" s="10" t="s">
        <v>87</v>
      </c>
      <c r="G16" s="10" t="s">
        <v>88</v>
      </c>
      <c r="H16" s="10" t="s">
        <v>50</v>
      </c>
      <c r="I16" s="10" t="s">
        <v>42</v>
      </c>
      <c r="J16" s="10" t="s">
        <v>36</v>
      </c>
      <c r="K16" s="10" t="s">
        <v>89</v>
      </c>
      <c r="L16" s="8" t="s">
        <v>31</v>
      </c>
      <c r="M16" s="8" t="s">
        <v>31</v>
      </c>
      <c r="N16" s="8" t="s">
        <v>31</v>
      </c>
      <c r="O16" s="10"/>
      <c r="P16" s="10"/>
    </row>
    <row r="17" spans="1:16" ht="52" x14ac:dyDescent="0.2">
      <c r="A17" s="5" t="s">
        <v>90</v>
      </c>
      <c r="B17" s="6" t="s">
        <v>63</v>
      </c>
      <c r="C17" s="6" t="s">
        <v>91</v>
      </c>
      <c r="D17" s="6" t="s">
        <v>65</v>
      </c>
      <c r="E17" s="11" t="s">
        <v>47</v>
      </c>
      <c r="F17" s="6" t="s">
        <v>92</v>
      </c>
      <c r="G17" s="6" t="s">
        <v>93</v>
      </c>
      <c r="H17" s="6" t="s">
        <v>27</v>
      </c>
      <c r="I17" s="6" t="s">
        <v>94</v>
      </c>
      <c r="J17" s="6" t="s">
        <v>68</v>
      </c>
      <c r="K17" s="6" t="s">
        <v>95</v>
      </c>
      <c r="L17" s="8" t="s">
        <v>31</v>
      </c>
      <c r="M17" s="8" t="s">
        <v>31</v>
      </c>
      <c r="N17" s="8" t="s">
        <v>31</v>
      </c>
      <c r="O17" s="6"/>
      <c r="P17" s="6"/>
    </row>
    <row r="18" spans="1:16" x14ac:dyDescent="0.2">
      <c r="A18" s="35" t="s">
        <v>96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 ht="65" x14ac:dyDescent="0.2">
      <c r="A19" s="5" t="s">
        <v>97</v>
      </c>
      <c r="B19" s="6" t="s">
        <v>98</v>
      </c>
      <c r="C19" s="6" t="s">
        <v>99</v>
      </c>
      <c r="D19" s="6" t="s">
        <v>98</v>
      </c>
      <c r="E19" s="7" t="s">
        <v>24</v>
      </c>
      <c r="F19" s="6" t="s">
        <v>100</v>
      </c>
      <c r="G19" s="6" t="s">
        <v>101</v>
      </c>
      <c r="H19" s="6" t="s">
        <v>50</v>
      </c>
      <c r="I19" s="6" t="s">
        <v>94</v>
      </c>
      <c r="J19" s="6" t="s">
        <v>68</v>
      </c>
      <c r="K19" s="6" t="s">
        <v>102</v>
      </c>
      <c r="L19" s="8" t="s">
        <v>31</v>
      </c>
      <c r="M19" s="7" t="s">
        <v>76</v>
      </c>
      <c r="N19" s="7" t="s">
        <v>76</v>
      </c>
      <c r="O19" s="7" t="s">
        <v>103</v>
      </c>
      <c r="P19" s="6" t="s">
        <v>104</v>
      </c>
    </row>
    <row r="20" spans="1:16" ht="52" x14ac:dyDescent="0.2">
      <c r="A20" s="9" t="s">
        <v>105</v>
      </c>
      <c r="B20" s="10" t="s">
        <v>98</v>
      </c>
      <c r="C20" s="10" t="s">
        <v>106</v>
      </c>
      <c r="D20" s="10" t="s">
        <v>98</v>
      </c>
      <c r="E20" s="7" t="s">
        <v>24</v>
      </c>
      <c r="F20" s="10" t="s">
        <v>107</v>
      </c>
      <c r="G20" s="10" t="s">
        <v>108</v>
      </c>
      <c r="H20" s="10" t="s">
        <v>50</v>
      </c>
      <c r="I20" s="10" t="s">
        <v>94</v>
      </c>
      <c r="J20" s="10" t="s">
        <v>56</v>
      </c>
      <c r="K20" s="10" t="s">
        <v>109</v>
      </c>
      <c r="L20" s="8" t="s">
        <v>31</v>
      </c>
      <c r="M20" s="8" t="s">
        <v>31</v>
      </c>
      <c r="N20" s="8" t="s">
        <v>31</v>
      </c>
      <c r="O20" s="10"/>
      <c r="P20" s="10"/>
    </row>
    <row r="21" spans="1:16" ht="52" x14ac:dyDescent="0.2">
      <c r="A21" s="5" t="s">
        <v>110</v>
      </c>
      <c r="B21" s="6" t="s">
        <v>98</v>
      </c>
      <c r="C21" s="6" t="s">
        <v>111</v>
      </c>
      <c r="D21" s="6" t="s">
        <v>98</v>
      </c>
      <c r="E21" s="7" t="s">
        <v>24</v>
      </c>
      <c r="F21" s="6" t="s">
        <v>112</v>
      </c>
      <c r="G21" s="6" t="s">
        <v>113</v>
      </c>
      <c r="H21" s="6" t="s">
        <v>27</v>
      </c>
      <c r="I21" s="6" t="s">
        <v>94</v>
      </c>
      <c r="J21" s="6" t="s">
        <v>68</v>
      </c>
      <c r="K21" s="6" t="s">
        <v>114</v>
      </c>
      <c r="L21" s="8" t="s">
        <v>31</v>
      </c>
      <c r="M21" s="8" t="s">
        <v>31</v>
      </c>
      <c r="N21" s="8" t="s">
        <v>31</v>
      </c>
      <c r="O21" s="6"/>
      <c r="P21" s="6"/>
    </row>
    <row r="22" spans="1:16" ht="52" x14ac:dyDescent="0.2">
      <c r="A22" s="9" t="s">
        <v>115</v>
      </c>
      <c r="B22" s="10" t="s">
        <v>98</v>
      </c>
      <c r="C22" s="10" t="s">
        <v>116</v>
      </c>
      <c r="D22" s="10" t="s">
        <v>98</v>
      </c>
      <c r="E22" s="11" t="s">
        <v>47</v>
      </c>
      <c r="F22" s="10" t="s">
        <v>117</v>
      </c>
      <c r="G22" s="10" t="s">
        <v>118</v>
      </c>
      <c r="H22" s="10" t="s">
        <v>50</v>
      </c>
      <c r="I22" s="10" t="s">
        <v>94</v>
      </c>
      <c r="J22" s="10" t="s">
        <v>36</v>
      </c>
      <c r="K22" s="10" t="s">
        <v>119</v>
      </c>
      <c r="L22" s="8" t="s">
        <v>31</v>
      </c>
      <c r="M22" s="8" t="s">
        <v>31</v>
      </c>
      <c r="N22" s="8" t="s">
        <v>31</v>
      </c>
      <c r="O22" s="10"/>
      <c r="P22" s="10"/>
    </row>
    <row r="23" spans="1:16" x14ac:dyDescent="0.2">
      <c r="A23" s="35" t="s">
        <v>120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</row>
    <row r="24" spans="1:16" ht="52" x14ac:dyDescent="0.2">
      <c r="A24" s="9" t="s">
        <v>121</v>
      </c>
      <c r="B24" s="10" t="s">
        <v>122</v>
      </c>
      <c r="C24" s="10" t="s">
        <v>123</v>
      </c>
      <c r="D24" s="10" t="s">
        <v>124</v>
      </c>
      <c r="E24" s="7" t="s">
        <v>24</v>
      </c>
      <c r="F24" s="10" t="s">
        <v>125</v>
      </c>
      <c r="G24" s="10" t="s">
        <v>126</v>
      </c>
      <c r="H24" s="10" t="s">
        <v>27</v>
      </c>
      <c r="I24" s="10" t="s">
        <v>127</v>
      </c>
      <c r="J24" s="10" t="s">
        <v>43</v>
      </c>
      <c r="K24" s="10" t="s">
        <v>128</v>
      </c>
      <c r="L24" s="8" t="s">
        <v>31</v>
      </c>
      <c r="M24" s="8" t="s">
        <v>31</v>
      </c>
      <c r="N24" s="8" t="s">
        <v>31</v>
      </c>
      <c r="O24" s="10"/>
      <c r="P24" s="10"/>
    </row>
    <row r="25" spans="1:16" ht="52" x14ac:dyDescent="0.2">
      <c r="A25" s="5" t="s">
        <v>129</v>
      </c>
      <c r="B25" s="6" t="s">
        <v>122</v>
      </c>
      <c r="C25" s="6" t="s">
        <v>130</v>
      </c>
      <c r="D25" s="6" t="s">
        <v>124</v>
      </c>
      <c r="E25" s="7" t="s">
        <v>24</v>
      </c>
      <c r="F25" s="6" t="s">
        <v>131</v>
      </c>
      <c r="G25" s="6" t="s">
        <v>132</v>
      </c>
      <c r="H25" s="6" t="s">
        <v>27</v>
      </c>
      <c r="I25" s="6" t="s">
        <v>83</v>
      </c>
      <c r="J25" s="6" t="s">
        <v>133</v>
      </c>
      <c r="K25" s="6" t="s">
        <v>134</v>
      </c>
      <c r="L25" s="8" t="s">
        <v>31</v>
      </c>
      <c r="M25" s="8" t="s">
        <v>31</v>
      </c>
      <c r="N25" s="8" t="s">
        <v>31</v>
      </c>
      <c r="O25" s="6"/>
      <c r="P25" s="6"/>
    </row>
    <row r="26" spans="1:16" ht="65" x14ac:dyDescent="0.2">
      <c r="A26" s="9" t="s">
        <v>135</v>
      </c>
      <c r="B26" s="10" t="s">
        <v>122</v>
      </c>
      <c r="C26" s="10" t="s">
        <v>136</v>
      </c>
      <c r="D26" s="10" t="s">
        <v>124</v>
      </c>
      <c r="E26" s="7" t="s">
        <v>24</v>
      </c>
      <c r="F26" s="10" t="s">
        <v>137</v>
      </c>
      <c r="G26" s="10" t="s">
        <v>138</v>
      </c>
      <c r="H26" s="10" t="s">
        <v>50</v>
      </c>
      <c r="I26" s="10" t="s">
        <v>127</v>
      </c>
      <c r="J26" s="10" t="s">
        <v>56</v>
      </c>
      <c r="K26" s="10" t="s">
        <v>139</v>
      </c>
      <c r="L26" s="8" t="s">
        <v>31</v>
      </c>
      <c r="M26" s="8" t="s">
        <v>31</v>
      </c>
      <c r="N26" s="8" t="s">
        <v>31</v>
      </c>
      <c r="O26" s="10"/>
      <c r="P26" s="10"/>
    </row>
    <row r="27" spans="1:16" ht="65" x14ac:dyDescent="0.2">
      <c r="A27" s="5" t="s">
        <v>140</v>
      </c>
      <c r="B27" s="6" t="s">
        <v>122</v>
      </c>
      <c r="C27" s="6" t="s">
        <v>141</v>
      </c>
      <c r="D27" s="6" t="s">
        <v>124</v>
      </c>
      <c r="E27" s="7" t="s">
        <v>24</v>
      </c>
      <c r="F27" s="6" t="s">
        <v>142</v>
      </c>
      <c r="G27" s="6" t="s">
        <v>143</v>
      </c>
      <c r="H27" s="6" t="s">
        <v>27</v>
      </c>
      <c r="I27" s="6" t="s">
        <v>144</v>
      </c>
      <c r="J27" s="6" t="s">
        <v>145</v>
      </c>
      <c r="K27" s="6" t="s">
        <v>146</v>
      </c>
      <c r="L27" s="8" t="s">
        <v>31</v>
      </c>
      <c r="M27" s="8" t="s">
        <v>31</v>
      </c>
      <c r="N27" s="8" t="s">
        <v>31</v>
      </c>
      <c r="O27" s="6"/>
      <c r="P27" s="6"/>
    </row>
    <row r="28" spans="1:16" x14ac:dyDescent="0.2">
      <c r="A28" s="35" t="s">
        <v>147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</row>
    <row r="29" spans="1:16" ht="65" x14ac:dyDescent="0.2">
      <c r="A29" s="5" t="s">
        <v>148</v>
      </c>
      <c r="B29" s="6" t="s">
        <v>149</v>
      </c>
      <c r="C29" s="6" t="s">
        <v>150</v>
      </c>
      <c r="D29" s="6" t="s">
        <v>151</v>
      </c>
      <c r="E29" s="7" t="s">
        <v>24</v>
      </c>
      <c r="F29" s="6" t="s">
        <v>152</v>
      </c>
      <c r="G29" s="6" t="s">
        <v>153</v>
      </c>
      <c r="H29" s="6" t="s">
        <v>27</v>
      </c>
      <c r="I29" s="6" t="s">
        <v>144</v>
      </c>
      <c r="J29" s="6" t="s">
        <v>56</v>
      </c>
      <c r="K29" s="6" t="s">
        <v>154</v>
      </c>
      <c r="L29" s="8" t="s">
        <v>31</v>
      </c>
      <c r="M29" s="8" t="s">
        <v>31</v>
      </c>
      <c r="N29" s="8" t="s">
        <v>31</v>
      </c>
      <c r="O29" s="6"/>
      <c r="P29" s="6"/>
    </row>
    <row r="30" spans="1:16" ht="52" x14ac:dyDescent="0.2">
      <c r="A30" s="9" t="s">
        <v>155</v>
      </c>
      <c r="B30" s="10" t="s">
        <v>149</v>
      </c>
      <c r="C30" s="10" t="s">
        <v>156</v>
      </c>
      <c r="D30" s="10" t="s">
        <v>151</v>
      </c>
      <c r="E30" s="7" t="s">
        <v>24</v>
      </c>
      <c r="F30" s="10" t="s">
        <v>157</v>
      </c>
      <c r="G30" s="10" t="s">
        <v>158</v>
      </c>
      <c r="H30" s="10" t="s">
        <v>50</v>
      </c>
      <c r="I30" s="10" t="s">
        <v>144</v>
      </c>
      <c r="J30" s="10" t="s">
        <v>36</v>
      </c>
      <c r="K30" s="10" t="s">
        <v>159</v>
      </c>
      <c r="L30" s="8" t="s">
        <v>31</v>
      </c>
      <c r="M30" s="8" t="s">
        <v>31</v>
      </c>
      <c r="N30" s="8" t="s">
        <v>31</v>
      </c>
      <c r="O30" s="10"/>
      <c r="P30" s="10"/>
    </row>
    <row r="31" spans="1:16" ht="39" x14ac:dyDescent="0.2">
      <c r="A31" s="5" t="s">
        <v>160</v>
      </c>
      <c r="B31" s="6" t="s">
        <v>149</v>
      </c>
      <c r="C31" s="6" t="s">
        <v>161</v>
      </c>
      <c r="D31" s="6" t="s">
        <v>151</v>
      </c>
      <c r="E31" s="7" t="s">
        <v>24</v>
      </c>
      <c r="F31" s="6" t="s">
        <v>162</v>
      </c>
      <c r="G31" s="6" t="s">
        <v>163</v>
      </c>
      <c r="H31" s="6" t="s">
        <v>27</v>
      </c>
      <c r="I31" s="6" t="s">
        <v>144</v>
      </c>
      <c r="J31" s="6" t="s">
        <v>164</v>
      </c>
      <c r="K31" s="6" t="s">
        <v>165</v>
      </c>
      <c r="L31" s="8" t="s">
        <v>31</v>
      </c>
      <c r="M31" s="8" t="s">
        <v>31</v>
      </c>
      <c r="N31" s="8" t="s">
        <v>31</v>
      </c>
      <c r="O31" s="6"/>
      <c r="P31" s="6"/>
    </row>
    <row r="32" spans="1:16" ht="78" x14ac:dyDescent="0.2">
      <c r="A32" s="9" t="s">
        <v>166</v>
      </c>
      <c r="B32" s="10" t="s">
        <v>149</v>
      </c>
      <c r="C32" s="10" t="s">
        <v>167</v>
      </c>
      <c r="D32" s="10" t="s">
        <v>151</v>
      </c>
      <c r="E32" s="7" t="s">
        <v>24</v>
      </c>
      <c r="F32" s="10" t="s">
        <v>168</v>
      </c>
      <c r="G32" s="10" t="s">
        <v>169</v>
      </c>
      <c r="H32" s="10" t="s">
        <v>27</v>
      </c>
      <c r="I32" s="10" t="s">
        <v>144</v>
      </c>
      <c r="J32" s="10" t="s">
        <v>68</v>
      </c>
      <c r="K32" s="10" t="s">
        <v>170</v>
      </c>
      <c r="L32" s="8" t="s">
        <v>31</v>
      </c>
      <c r="M32" s="7" t="s">
        <v>76</v>
      </c>
      <c r="N32" s="7" t="s">
        <v>76</v>
      </c>
      <c r="O32" s="7" t="s">
        <v>171</v>
      </c>
      <c r="P32" s="10" t="s">
        <v>172</v>
      </c>
    </row>
    <row r="33" spans="1:16" ht="52" x14ac:dyDescent="0.2">
      <c r="A33" s="5" t="s">
        <v>173</v>
      </c>
      <c r="B33" s="6" t="s">
        <v>149</v>
      </c>
      <c r="C33" s="6" t="s">
        <v>174</v>
      </c>
      <c r="D33" s="6" t="s">
        <v>151</v>
      </c>
      <c r="E33" s="7" t="s">
        <v>24</v>
      </c>
      <c r="F33" s="6" t="s">
        <v>175</v>
      </c>
      <c r="G33" s="6" t="s">
        <v>176</v>
      </c>
      <c r="H33" s="6" t="s">
        <v>27</v>
      </c>
      <c r="I33" s="6" t="s">
        <v>144</v>
      </c>
      <c r="J33" s="6" t="s">
        <v>145</v>
      </c>
      <c r="K33" s="6" t="s">
        <v>177</v>
      </c>
      <c r="L33" s="8" t="s">
        <v>31</v>
      </c>
      <c r="M33" s="8" t="s">
        <v>31</v>
      </c>
      <c r="N33" s="8" t="s">
        <v>31</v>
      </c>
      <c r="O33" s="6"/>
      <c r="P33" s="6"/>
    </row>
  </sheetData>
  <mergeCells count="5">
    <mergeCell ref="A6:P6"/>
    <mergeCell ref="A12:P12"/>
    <mergeCell ref="A18:P18"/>
    <mergeCell ref="A23:P23"/>
    <mergeCell ref="A28:P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DC1B-891B-F14F-8802-405CDE818912}">
  <dimension ref="A1:D20"/>
  <sheetViews>
    <sheetView topLeftCell="A2" workbookViewId="0">
      <selection activeCell="B5" sqref="B5"/>
    </sheetView>
  </sheetViews>
  <sheetFormatPr baseColWidth="10" defaultRowHeight="16" x14ac:dyDescent="0.2"/>
  <cols>
    <col min="1" max="1" width="33.5" customWidth="1"/>
    <col min="2" max="2" width="25" customWidth="1"/>
    <col min="3" max="3" width="19" customWidth="1"/>
    <col min="4" max="4" width="25" customWidth="1"/>
  </cols>
  <sheetData>
    <row r="1" spans="1:4" ht="18" x14ac:dyDescent="0.2">
      <c r="A1" s="36" t="s">
        <v>178</v>
      </c>
      <c r="B1" s="36"/>
      <c r="C1" s="36"/>
      <c r="D1" s="36"/>
    </row>
    <row r="3" spans="1:4" x14ac:dyDescent="0.2">
      <c r="A3" s="37" t="s">
        <v>179</v>
      </c>
      <c r="B3" s="37"/>
      <c r="C3" s="37"/>
      <c r="D3" s="37"/>
    </row>
    <row r="4" spans="1:4" x14ac:dyDescent="0.2">
      <c r="A4" s="12" t="s">
        <v>180</v>
      </c>
      <c r="B4" s="12" t="s">
        <v>181</v>
      </c>
    </row>
    <row r="5" spans="1:4" ht="28" x14ac:dyDescent="0.2">
      <c r="A5" s="13" t="s">
        <v>182</v>
      </c>
      <c r="B5" s="14" t="e">
        <f>COUNTA([1]RISK_CONTROL_MATRIX!A7:A100)-COUNTIF([1]RISK_CONTROL_MATRIX!A7:A100,"")</f>
        <v>#VALUE!</v>
      </c>
    </row>
    <row r="6" spans="1:4" ht="28" x14ac:dyDescent="0.2">
      <c r="A6" s="15" t="s">
        <v>183</v>
      </c>
      <c r="B6" s="16" t="e">
        <f>COUNTIF([1]RISK_CONTROL_MATRIX!N7:N100,"Effective")</f>
        <v>#VALUE!</v>
      </c>
    </row>
    <row r="7" spans="1:4" ht="28" x14ac:dyDescent="0.2">
      <c r="A7" s="13" t="s">
        <v>58</v>
      </c>
      <c r="B7" s="14" t="e">
        <f>COUNTIF([1]RISK_CONTROL_MATRIX!N7:N100,"Partially Effective")</f>
        <v>#VALUE!</v>
      </c>
    </row>
    <row r="8" spans="1:4" ht="28" x14ac:dyDescent="0.2">
      <c r="A8" s="15" t="s">
        <v>184</v>
      </c>
      <c r="B8" s="16" t="e">
        <f>COUNTIF([1]RISK_CONTROL_MATRIX!N7:N100,"Ineffective")</f>
        <v>#VALUE!</v>
      </c>
    </row>
    <row r="9" spans="1:4" ht="42" x14ac:dyDescent="0.2">
      <c r="A9" s="13" t="s">
        <v>185</v>
      </c>
      <c r="B9" s="14" t="e">
        <f>COUNTIF([1]RISK_CONTROL_MATRIX!O7:O100,"&lt;&gt;")</f>
        <v>#VALUE!</v>
      </c>
    </row>
    <row r="10" spans="1:4" ht="28" x14ac:dyDescent="0.2">
      <c r="A10" s="15" t="s">
        <v>186</v>
      </c>
      <c r="B10" s="16" t="e">
        <f>COUNTIF([1]RISK_CONTROL_MATRIX!E7:E100,"HIGH")</f>
        <v>#VALUE!</v>
      </c>
    </row>
    <row r="11" spans="1:4" ht="42" x14ac:dyDescent="0.2">
      <c r="A11" s="13" t="s">
        <v>187</v>
      </c>
      <c r="B11" s="14" t="e">
        <f>COUNTIF([1]RISK_CONTROL_MATRIX!E7:E100,"MEDIUM")</f>
        <v>#VALUE!</v>
      </c>
    </row>
    <row r="12" spans="1:4" ht="28" x14ac:dyDescent="0.2">
      <c r="A12" s="15" t="s">
        <v>188</v>
      </c>
      <c r="B12" s="17" t="e">
        <f>COUNTIF([1]RISK_CONTROL_MATRIX!N7:N100,"Effective")/COUNTA([1]RISK_CONTROL_MATRIX!N7:N100)</f>
        <v>#VALUE!</v>
      </c>
    </row>
    <row r="15" spans="1:4" x14ac:dyDescent="0.2">
      <c r="A15" s="37" t="s">
        <v>189</v>
      </c>
      <c r="B15" s="37"/>
      <c r="C15" s="37"/>
      <c r="D15" s="37"/>
    </row>
    <row r="16" spans="1:4" x14ac:dyDescent="0.2">
      <c r="A16" s="18" t="s">
        <v>190</v>
      </c>
      <c r="B16" s="18" t="s">
        <v>191</v>
      </c>
      <c r="C16" s="18" t="s">
        <v>192</v>
      </c>
      <c r="D16" s="18" t="s">
        <v>193</v>
      </c>
    </row>
    <row r="17" spans="1:4" ht="26" x14ac:dyDescent="0.2">
      <c r="A17" s="2" t="s">
        <v>59</v>
      </c>
      <c r="B17" s="2" t="s">
        <v>194</v>
      </c>
      <c r="C17" s="19" t="s">
        <v>195</v>
      </c>
      <c r="D17" s="2" t="s">
        <v>196</v>
      </c>
    </row>
    <row r="18" spans="1:4" ht="39" x14ac:dyDescent="0.2">
      <c r="A18" s="3" t="s">
        <v>77</v>
      </c>
      <c r="B18" s="3" t="s">
        <v>197</v>
      </c>
      <c r="C18" s="20" t="s">
        <v>24</v>
      </c>
      <c r="D18" s="3" t="s">
        <v>198</v>
      </c>
    </row>
    <row r="19" spans="1:4" ht="39" x14ac:dyDescent="0.2">
      <c r="A19" s="2" t="s">
        <v>103</v>
      </c>
      <c r="B19" s="2" t="s">
        <v>199</v>
      </c>
      <c r="C19" s="20" t="s">
        <v>24</v>
      </c>
      <c r="D19" s="2" t="s">
        <v>200</v>
      </c>
    </row>
    <row r="20" spans="1:4" ht="39" x14ac:dyDescent="0.2">
      <c r="A20" s="3" t="s">
        <v>171</v>
      </c>
      <c r="B20" s="3" t="s">
        <v>201</v>
      </c>
      <c r="C20" s="20" t="s">
        <v>24</v>
      </c>
      <c r="D20" s="3" t="s">
        <v>202</v>
      </c>
    </row>
  </sheetData>
  <mergeCells count="3">
    <mergeCell ref="A1:D1"/>
    <mergeCell ref="A3:D3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5FDD-000B-B24E-BC98-44ADAB250D3E}">
  <dimension ref="A1:N31"/>
  <sheetViews>
    <sheetView workbookViewId="0">
      <selection activeCell="G6" sqref="G6"/>
    </sheetView>
  </sheetViews>
  <sheetFormatPr baseColWidth="10" defaultRowHeight="16" x14ac:dyDescent="0.2"/>
  <cols>
    <col min="2" max="2" width="32" bestFit="1" customWidth="1"/>
    <col min="5" max="5" width="11.5" bestFit="1" customWidth="1"/>
    <col min="6" max="6" width="14.5" bestFit="1" customWidth="1"/>
    <col min="7" max="7" width="15.6640625" bestFit="1" customWidth="1"/>
    <col min="9" max="9" width="14.1640625" bestFit="1" customWidth="1"/>
    <col min="10" max="10" width="27.5" bestFit="1" customWidth="1"/>
    <col min="14" max="14" width="34.1640625" customWidth="1"/>
  </cols>
  <sheetData>
    <row r="1" spans="1:14" ht="18" customHeight="1" x14ac:dyDescent="0.2">
      <c r="A1" s="30" t="s">
        <v>203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9" x14ac:dyDescent="0.2">
      <c r="A2" s="31" t="s">
        <v>204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9" x14ac:dyDescent="0.2">
      <c r="A3" s="32" t="s">
        <v>205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5" spans="1:14" x14ac:dyDescent="0.2">
      <c r="A5" s="33" t="s">
        <v>206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x14ac:dyDescent="0.2">
      <c r="A6" s="21" t="s">
        <v>3</v>
      </c>
      <c r="B6" s="21" t="s">
        <v>8</v>
      </c>
      <c r="C6" s="21" t="s">
        <v>4</v>
      </c>
      <c r="D6" s="21" t="s">
        <v>207</v>
      </c>
      <c r="E6" s="21" t="s">
        <v>208</v>
      </c>
      <c r="F6" s="21" t="s">
        <v>209</v>
      </c>
      <c r="G6" s="21" t="s">
        <v>210</v>
      </c>
      <c r="H6" s="21" t="s">
        <v>211</v>
      </c>
      <c r="I6" s="21" t="s">
        <v>212</v>
      </c>
      <c r="J6" s="21" t="s">
        <v>13</v>
      </c>
      <c r="K6" s="21" t="s">
        <v>213</v>
      </c>
      <c r="L6" s="21" t="s">
        <v>214</v>
      </c>
      <c r="M6" s="21" t="s">
        <v>17</v>
      </c>
      <c r="N6" s="21" t="s">
        <v>215</v>
      </c>
    </row>
    <row r="7" spans="1:14" ht="34" x14ac:dyDescent="0.2">
      <c r="A7" s="22" t="s">
        <v>20</v>
      </c>
      <c r="B7" s="22" t="s">
        <v>25</v>
      </c>
      <c r="C7" s="22" t="s">
        <v>21</v>
      </c>
      <c r="D7" s="23" t="s">
        <v>216</v>
      </c>
      <c r="E7" s="22" t="s">
        <v>217</v>
      </c>
      <c r="F7" s="22" t="s">
        <v>218</v>
      </c>
      <c r="G7" s="23" t="s">
        <v>219</v>
      </c>
      <c r="H7" s="23" t="s">
        <v>220</v>
      </c>
      <c r="I7" s="22" t="s">
        <v>221</v>
      </c>
      <c r="J7" s="22" t="s">
        <v>30</v>
      </c>
      <c r="K7" s="23" t="s">
        <v>222</v>
      </c>
      <c r="L7" s="24" t="s">
        <v>223</v>
      </c>
      <c r="M7" s="22"/>
      <c r="N7" s="25" t="s">
        <v>224</v>
      </c>
    </row>
    <row r="8" spans="1:14" ht="34" x14ac:dyDescent="0.2">
      <c r="A8" s="26" t="s">
        <v>32</v>
      </c>
      <c r="B8" s="26" t="s">
        <v>34</v>
      </c>
      <c r="C8" s="26" t="s">
        <v>21</v>
      </c>
      <c r="D8" s="27" t="s">
        <v>216</v>
      </c>
      <c r="E8" s="26" t="s">
        <v>217</v>
      </c>
      <c r="F8" s="26" t="s">
        <v>225</v>
      </c>
      <c r="G8" s="27" t="s">
        <v>226</v>
      </c>
      <c r="H8" s="27" t="s">
        <v>227</v>
      </c>
      <c r="I8" s="26" t="s">
        <v>228</v>
      </c>
      <c r="J8" s="26" t="s">
        <v>229</v>
      </c>
      <c r="K8" s="27" t="s">
        <v>222</v>
      </c>
      <c r="L8" s="24" t="s">
        <v>223</v>
      </c>
      <c r="M8" s="26"/>
      <c r="N8" s="28" t="s">
        <v>230</v>
      </c>
    </row>
    <row r="9" spans="1:14" ht="34" x14ac:dyDescent="0.2">
      <c r="A9" s="22" t="s">
        <v>38</v>
      </c>
      <c r="B9" s="22" t="s">
        <v>40</v>
      </c>
      <c r="C9" s="22" t="s">
        <v>21</v>
      </c>
      <c r="D9" s="23" t="s">
        <v>231</v>
      </c>
      <c r="E9" s="22" t="s">
        <v>217</v>
      </c>
      <c r="F9" s="22" t="s">
        <v>218</v>
      </c>
      <c r="G9" s="23" t="s">
        <v>232</v>
      </c>
      <c r="H9" s="23" t="s">
        <v>233</v>
      </c>
      <c r="I9" s="22" t="s">
        <v>228</v>
      </c>
      <c r="J9" s="22" t="s">
        <v>234</v>
      </c>
      <c r="K9" s="23" t="s">
        <v>222</v>
      </c>
      <c r="L9" s="24" t="s">
        <v>223</v>
      </c>
      <c r="M9" s="22"/>
      <c r="N9" s="25" t="s">
        <v>235</v>
      </c>
    </row>
    <row r="10" spans="1:14" ht="34" x14ac:dyDescent="0.2">
      <c r="A10" s="26" t="s">
        <v>45</v>
      </c>
      <c r="B10" s="26" t="s">
        <v>48</v>
      </c>
      <c r="C10" s="26" t="s">
        <v>21</v>
      </c>
      <c r="D10" s="27" t="s">
        <v>231</v>
      </c>
      <c r="E10" s="26" t="s">
        <v>217</v>
      </c>
      <c r="F10" s="26" t="s">
        <v>225</v>
      </c>
      <c r="G10" s="27" t="s">
        <v>236</v>
      </c>
      <c r="H10" s="27" t="s">
        <v>227</v>
      </c>
      <c r="I10" s="26" t="s">
        <v>228</v>
      </c>
      <c r="J10" s="26" t="s">
        <v>51</v>
      </c>
      <c r="K10" s="27" t="s">
        <v>222</v>
      </c>
      <c r="L10" s="24" t="s">
        <v>223</v>
      </c>
      <c r="M10" s="26"/>
      <c r="N10" s="28" t="s">
        <v>237</v>
      </c>
    </row>
    <row r="11" spans="1:14" ht="68" x14ac:dyDescent="0.2">
      <c r="A11" s="22" t="s">
        <v>52</v>
      </c>
      <c r="B11" s="22" t="s">
        <v>54</v>
      </c>
      <c r="C11" s="22" t="s">
        <v>21</v>
      </c>
      <c r="D11" s="23" t="s">
        <v>238</v>
      </c>
      <c r="E11" s="22" t="s">
        <v>217</v>
      </c>
      <c r="F11" s="22" t="s">
        <v>218</v>
      </c>
      <c r="G11" s="23" t="s">
        <v>239</v>
      </c>
      <c r="H11" s="23" t="s">
        <v>240</v>
      </c>
      <c r="I11" s="22" t="s">
        <v>228</v>
      </c>
      <c r="J11" s="22" t="s">
        <v>241</v>
      </c>
      <c r="K11" s="23" t="s">
        <v>242</v>
      </c>
      <c r="L11" s="29" t="s">
        <v>243</v>
      </c>
      <c r="M11" s="29" t="s">
        <v>59</v>
      </c>
      <c r="N11" s="25" t="s">
        <v>244</v>
      </c>
    </row>
    <row r="12" spans="1:14" ht="34" x14ac:dyDescent="0.2">
      <c r="A12" s="26" t="s">
        <v>62</v>
      </c>
      <c r="B12" s="26" t="s">
        <v>66</v>
      </c>
      <c r="C12" s="26" t="s">
        <v>63</v>
      </c>
      <c r="D12" s="27" t="s">
        <v>245</v>
      </c>
      <c r="E12" s="26" t="s">
        <v>217</v>
      </c>
      <c r="F12" s="26" t="s">
        <v>225</v>
      </c>
      <c r="G12" s="27" t="s">
        <v>232</v>
      </c>
      <c r="H12" s="27" t="s">
        <v>233</v>
      </c>
      <c r="I12" s="26" t="s">
        <v>228</v>
      </c>
      <c r="J12" s="26" t="s">
        <v>246</v>
      </c>
      <c r="K12" s="27" t="s">
        <v>222</v>
      </c>
      <c r="L12" s="24" t="s">
        <v>223</v>
      </c>
      <c r="M12" s="26"/>
      <c r="N12" s="28" t="s">
        <v>247</v>
      </c>
    </row>
    <row r="13" spans="1:14" ht="51" x14ac:dyDescent="0.2">
      <c r="A13" s="22" t="s">
        <v>70</v>
      </c>
      <c r="B13" s="22" t="s">
        <v>72</v>
      </c>
      <c r="C13" s="22" t="s">
        <v>63</v>
      </c>
      <c r="D13" s="23" t="s">
        <v>245</v>
      </c>
      <c r="E13" s="22" t="s">
        <v>217</v>
      </c>
      <c r="F13" s="22" t="s">
        <v>218</v>
      </c>
      <c r="G13" s="23" t="s">
        <v>232</v>
      </c>
      <c r="H13" s="23" t="s">
        <v>233</v>
      </c>
      <c r="I13" s="22" t="s">
        <v>228</v>
      </c>
      <c r="J13" s="22" t="s">
        <v>248</v>
      </c>
      <c r="K13" s="23" t="s">
        <v>242</v>
      </c>
      <c r="L13" s="29" t="s">
        <v>243</v>
      </c>
      <c r="M13" s="29" t="s">
        <v>77</v>
      </c>
      <c r="N13" s="25" t="s">
        <v>249</v>
      </c>
    </row>
    <row r="14" spans="1:14" ht="34" x14ac:dyDescent="0.2">
      <c r="A14" s="26" t="s">
        <v>79</v>
      </c>
      <c r="B14" s="26" t="s">
        <v>81</v>
      </c>
      <c r="C14" s="26" t="s">
        <v>63</v>
      </c>
      <c r="D14" s="27" t="s">
        <v>250</v>
      </c>
      <c r="E14" s="26" t="s">
        <v>217</v>
      </c>
      <c r="F14" s="26" t="s">
        <v>218</v>
      </c>
      <c r="G14" s="27" t="s">
        <v>251</v>
      </c>
      <c r="H14" s="27" t="s">
        <v>233</v>
      </c>
      <c r="I14" s="26" t="s">
        <v>228</v>
      </c>
      <c r="J14" s="26" t="s">
        <v>252</v>
      </c>
      <c r="K14" s="27" t="s">
        <v>222</v>
      </c>
      <c r="L14" s="24" t="s">
        <v>223</v>
      </c>
      <c r="M14" s="26"/>
      <c r="N14" s="28" t="s">
        <v>253</v>
      </c>
    </row>
    <row r="15" spans="1:14" ht="34" x14ac:dyDescent="0.2">
      <c r="A15" s="22" t="s">
        <v>85</v>
      </c>
      <c r="B15" s="22" t="s">
        <v>87</v>
      </c>
      <c r="C15" s="22" t="s">
        <v>63</v>
      </c>
      <c r="D15" s="23" t="s">
        <v>250</v>
      </c>
      <c r="E15" s="22" t="s">
        <v>217</v>
      </c>
      <c r="F15" s="22" t="s">
        <v>218</v>
      </c>
      <c r="G15" s="23" t="s">
        <v>254</v>
      </c>
      <c r="H15" s="23" t="s">
        <v>255</v>
      </c>
      <c r="I15" s="22" t="s">
        <v>221</v>
      </c>
      <c r="J15" s="22" t="s">
        <v>256</v>
      </c>
      <c r="K15" s="23" t="s">
        <v>222</v>
      </c>
      <c r="L15" s="24" t="s">
        <v>223</v>
      </c>
      <c r="M15" s="22"/>
      <c r="N15" s="25" t="s">
        <v>257</v>
      </c>
    </row>
    <row r="16" spans="1:14" ht="34" x14ac:dyDescent="0.2">
      <c r="A16" s="26" t="s">
        <v>90</v>
      </c>
      <c r="B16" s="26" t="s">
        <v>92</v>
      </c>
      <c r="C16" s="26" t="s">
        <v>63</v>
      </c>
      <c r="D16" s="27" t="s">
        <v>258</v>
      </c>
      <c r="E16" s="26" t="s">
        <v>217</v>
      </c>
      <c r="F16" s="26" t="s">
        <v>218</v>
      </c>
      <c r="G16" s="27" t="s">
        <v>259</v>
      </c>
      <c r="H16" s="27" t="s">
        <v>233</v>
      </c>
      <c r="I16" s="26" t="s">
        <v>228</v>
      </c>
      <c r="J16" s="26" t="s">
        <v>260</v>
      </c>
      <c r="K16" s="27" t="s">
        <v>222</v>
      </c>
      <c r="L16" s="24" t="s">
        <v>223</v>
      </c>
      <c r="M16" s="26"/>
      <c r="N16" s="28" t="s">
        <v>261</v>
      </c>
    </row>
    <row r="17" spans="1:14" ht="68" x14ac:dyDescent="0.2">
      <c r="A17" s="22" t="s">
        <v>97</v>
      </c>
      <c r="B17" s="22" t="s">
        <v>100</v>
      </c>
      <c r="C17" s="22" t="s">
        <v>98</v>
      </c>
      <c r="D17" s="23" t="s">
        <v>262</v>
      </c>
      <c r="E17" s="22" t="s">
        <v>217</v>
      </c>
      <c r="F17" s="22" t="s">
        <v>218</v>
      </c>
      <c r="G17" s="23" t="s">
        <v>263</v>
      </c>
      <c r="H17" s="23" t="s">
        <v>264</v>
      </c>
      <c r="I17" s="22" t="s">
        <v>228</v>
      </c>
      <c r="J17" s="22" t="s">
        <v>265</v>
      </c>
      <c r="K17" s="23" t="s">
        <v>264</v>
      </c>
      <c r="L17" s="29" t="s">
        <v>243</v>
      </c>
      <c r="M17" s="29" t="s">
        <v>103</v>
      </c>
      <c r="N17" s="25" t="s">
        <v>266</v>
      </c>
    </row>
    <row r="18" spans="1:14" ht="34" x14ac:dyDescent="0.2">
      <c r="A18" s="26" t="s">
        <v>105</v>
      </c>
      <c r="B18" s="26" t="s">
        <v>107</v>
      </c>
      <c r="C18" s="26" t="s">
        <v>98</v>
      </c>
      <c r="D18" s="27" t="s">
        <v>262</v>
      </c>
      <c r="E18" s="26" t="s">
        <v>217</v>
      </c>
      <c r="F18" s="26" t="s">
        <v>225</v>
      </c>
      <c r="G18" s="27" t="s">
        <v>267</v>
      </c>
      <c r="H18" s="27" t="s">
        <v>240</v>
      </c>
      <c r="I18" s="26" t="s">
        <v>228</v>
      </c>
      <c r="J18" s="26" t="s">
        <v>109</v>
      </c>
      <c r="K18" s="27" t="s">
        <v>222</v>
      </c>
      <c r="L18" s="24" t="s">
        <v>223</v>
      </c>
      <c r="M18" s="26"/>
      <c r="N18" s="28" t="s">
        <v>268</v>
      </c>
    </row>
    <row r="19" spans="1:14" ht="34" x14ac:dyDescent="0.2">
      <c r="A19" s="22" t="s">
        <v>110</v>
      </c>
      <c r="B19" s="22" t="s">
        <v>112</v>
      </c>
      <c r="C19" s="22" t="s">
        <v>98</v>
      </c>
      <c r="D19" s="23" t="s">
        <v>269</v>
      </c>
      <c r="E19" s="22" t="s">
        <v>217</v>
      </c>
      <c r="F19" s="22" t="s">
        <v>218</v>
      </c>
      <c r="G19" s="23" t="s">
        <v>270</v>
      </c>
      <c r="H19" s="23" t="s">
        <v>233</v>
      </c>
      <c r="I19" s="22" t="s">
        <v>228</v>
      </c>
      <c r="J19" s="22" t="s">
        <v>271</v>
      </c>
      <c r="K19" s="23" t="s">
        <v>222</v>
      </c>
      <c r="L19" s="24" t="s">
        <v>223</v>
      </c>
      <c r="M19" s="22"/>
      <c r="N19" s="25" t="s">
        <v>272</v>
      </c>
    </row>
    <row r="20" spans="1:14" ht="34" x14ac:dyDescent="0.2">
      <c r="A20" s="26" t="s">
        <v>115</v>
      </c>
      <c r="B20" s="26" t="s">
        <v>117</v>
      </c>
      <c r="C20" s="26" t="s">
        <v>98</v>
      </c>
      <c r="D20" s="27" t="s">
        <v>269</v>
      </c>
      <c r="E20" s="26" t="s">
        <v>217</v>
      </c>
      <c r="F20" s="26" t="s">
        <v>218</v>
      </c>
      <c r="G20" s="27" t="s">
        <v>273</v>
      </c>
      <c r="H20" s="27" t="s">
        <v>255</v>
      </c>
      <c r="I20" s="26" t="s">
        <v>221</v>
      </c>
      <c r="J20" s="26" t="s">
        <v>274</v>
      </c>
      <c r="K20" s="27" t="s">
        <v>222</v>
      </c>
      <c r="L20" s="24" t="s">
        <v>223</v>
      </c>
      <c r="M20" s="26"/>
      <c r="N20" s="28" t="s">
        <v>275</v>
      </c>
    </row>
    <row r="21" spans="1:14" ht="34" x14ac:dyDescent="0.2">
      <c r="A21" s="22" t="s">
        <v>121</v>
      </c>
      <c r="B21" s="22" t="s">
        <v>125</v>
      </c>
      <c r="C21" s="22" t="s">
        <v>122</v>
      </c>
      <c r="D21" s="23" t="s">
        <v>276</v>
      </c>
      <c r="E21" s="22" t="s">
        <v>217</v>
      </c>
      <c r="F21" s="22" t="s">
        <v>218</v>
      </c>
      <c r="G21" s="23" t="s">
        <v>277</v>
      </c>
      <c r="H21" s="23" t="s">
        <v>278</v>
      </c>
      <c r="I21" s="22" t="s">
        <v>228</v>
      </c>
      <c r="J21" s="22" t="s">
        <v>279</v>
      </c>
      <c r="K21" s="23" t="s">
        <v>222</v>
      </c>
      <c r="L21" s="24" t="s">
        <v>223</v>
      </c>
      <c r="M21" s="22"/>
      <c r="N21" s="25" t="s">
        <v>280</v>
      </c>
    </row>
    <row r="22" spans="1:14" ht="34" x14ac:dyDescent="0.2">
      <c r="A22" s="26" t="s">
        <v>129</v>
      </c>
      <c r="B22" s="26" t="s">
        <v>131</v>
      </c>
      <c r="C22" s="26" t="s">
        <v>122</v>
      </c>
      <c r="D22" s="27" t="s">
        <v>276</v>
      </c>
      <c r="E22" s="26" t="s">
        <v>217</v>
      </c>
      <c r="F22" s="26" t="s">
        <v>218</v>
      </c>
      <c r="G22" s="27" t="s">
        <v>277</v>
      </c>
      <c r="H22" s="27" t="s">
        <v>278</v>
      </c>
      <c r="I22" s="26" t="s">
        <v>228</v>
      </c>
      <c r="J22" s="26" t="s">
        <v>281</v>
      </c>
      <c r="K22" s="27" t="s">
        <v>222</v>
      </c>
      <c r="L22" s="24" t="s">
        <v>223</v>
      </c>
      <c r="M22" s="26"/>
      <c r="N22" s="28" t="s">
        <v>282</v>
      </c>
    </row>
    <row r="23" spans="1:14" ht="51" x14ac:dyDescent="0.2">
      <c r="A23" s="22" t="s">
        <v>135</v>
      </c>
      <c r="B23" s="22" t="s">
        <v>137</v>
      </c>
      <c r="C23" s="22" t="s">
        <v>122</v>
      </c>
      <c r="D23" s="23" t="s">
        <v>283</v>
      </c>
      <c r="E23" s="22" t="s">
        <v>217</v>
      </c>
      <c r="F23" s="22" t="s">
        <v>218</v>
      </c>
      <c r="G23" s="23" t="s">
        <v>284</v>
      </c>
      <c r="H23" s="23" t="s">
        <v>240</v>
      </c>
      <c r="I23" s="22" t="s">
        <v>228</v>
      </c>
      <c r="J23" s="22" t="s">
        <v>285</v>
      </c>
      <c r="K23" s="23" t="s">
        <v>222</v>
      </c>
      <c r="L23" s="24" t="s">
        <v>223</v>
      </c>
      <c r="M23" s="22"/>
      <c r="N23" s="25" t="s">
        <v>286</v>
      </c>
    </row>
    <row r="24" spans="1:14" ht="51" x14ac:dyDescent="0.2">
      <c r="A24" s="26" t="s">
        <v>140</v>
      </c>
      <c r="B24" s="26" t="s">
        <v>287</v>
      </c>
      <c r="C24" s="26" t="s">
        <v>122</v>
      </c>
      <c r="D24" s="27" t="s">
        <v>283</v>
      </c>
      <c r="E24" s="26" t="s">
        <v>217</v>
      </c>
      <c r="F24" s="26" t="s">
        <v>218</v>
      </c>
      <c r="G24" s="27" t="s">
        <v>288</v>
      </c>
      <c r="H24" s="27" t="s">
        <v>220</v>
      </c>
      <c r="I24" s="26" t="s">
        <v>221</v>
      </c>
      <c r="J24" s="26" t="s">
        <v>289</v>
      </c>
      <c r="K24" s="27" t="s">
        <v>222</v>
      </c>
      <c r="L24" s="24" t="s">
        <v>223</v>
      </c>
      <c r="M24" s="26"/>
      <c r="N24" s="28" t="s">
        <v>290</v>
      </c>
    </row>
    <row r="25" spans="1:14" ht="34" x14ac:dyDescent="0.2">
      <c r="A25" s="22" t="s">
        <v>148</v>
      </c>
      <c r="B25" s="22" t="s">
        <v>291</v>
      </c>
      <c r="C25" s="22" t="s">
        <v>149</v>
      </c>
      <c r="D25" s="23" t="s">
        <v>292</v>
      </c>
      <c r="E25" s="22" t="s">
        <v>217</v>
      </c>
      <c r="F25" s="22" t="s">
        <v>218</v>
      </c>
      <c r="G25" s="23" t="s">
        <v>267</v>
      </c>
      <c r="H25" s="23" t="s">
        <v>240</v>
      </c>
      <c r="I25" s="22" t="s">
        <v>228</v>
      </c>
      <c r="J25" s="22" t="s">
        <v>293</v>
      </c>
      <c r="K25" s="23" t="s">
        <v>222</v>
      </c>
      <c r="L25" s="24" t="s">
        <v>223</v>
      </c>
      <c r="M25" s="22"/>
      <c r="N25" s="25" t="s">
        <v>294</v>
      </c>
    </row>
    <row r="26" spans="1:14" ht="34" x14ac:dyDescent="0.2">
      <c r="A26" s="26" t="s">
        <v>155</v>
      </c>
      <c r="B26" s="26" t="s">
        <v>157</v>
      </c>
      <c r="C26" s="26" t="s">
        <v>149</v>
      </c>
      <c r="D26" s="27" t="s">
        <v>292</v>
      </c>
      <c r="E26" s="26" t="s">
        <v>217</v>
      </c>
      <c r="F26" s="26" t="s">
        <v>218</v>
      </c>
      <c r="G26" s="27" t="s">
        <v>295</v>
      </c>
      <c r="H26" s="27" t="s">
        <v>220</v>
      </c>
      <c r="I26" s="26" t="s">
        <v>221</v>
      </c>
      <c r="J26" s="26" t="s">
        <v>296</v>
      </c>
      <c r="K26" s="27" t="s">
        <v>222</v>
      </c>
      <c r="L26" s="24" t="s">
        <v>223</v>
      </c>
      <c r="M26" s="26"/>
      <c r="N26" s="28" t="s">
        <v>297</v>
      </c>
    </row>
    <row r="27" spans="1:14" ht="34" x14ac:dyDescent="0.2">
      <c r="A27" s="22" t="s">
        <v>160</v>
      </c>
      <c r="B27" s="22" t="s">
        <v>298</v>
      </c>
      <c r="C27" s="22" t="s">
        <v>149</v>
      </c>
      <c r="D27" s="23" t="s">
        <v>299</v>
      </c>
      <c r="E27" s="22" t="s">
        <v>217</v>
      </c>
      <c r="F27" s="22" t="s">
        <v>218</v>
      </c>
      <c r="G27" s="23" t="s">
        <v>300</v>
      </c>
      <c r="H27" s="23" t="s">
        <v>301</v>
      </c>
      <c r="I27" s="22" t="s">
        <v>228</v>
      </c>
      <c r="J27" s="22" t="s">
        <v>165</v>
      </c>
      <c r="K27" s="23" t="s">
        <v>222</v>
      </c>
      <c r="L27" s="24" t="s">
        <v>223</v>
      </c>
      <c r="M27" s="22"/>
      <c r="N27" s="25" t="s">
        <v>302</v>
      </c>
    </row>
    <row r="28" spans="1:14" ht="68" x14ac:dyDescent="0.2">
      <c r="A28" s="26" t="s">
        <v>166</v>
      </c>
      <c r="B28" s="26" t="s">
        <v>168</v>
      </c>
      <c r="C28" s="26" t="s">
        <v>149</v>
      </c>
      <c r="D28" s="27" t="s">
        <v>299</v>
      </c>
      <c r="E28" s="26" t="s">
        <v>217</v>
      </c>
      <c r="F28" s="26" t="s">
        <v>218</v>
      </c>
      <c r="G28" s="27" t="s">
        <v>303</v>
      </c>
      <c r="H28" s="27" t="s">
        <v>304</v>
      </c>
      <c r="I28" s="26" t="s">
        <v>221</v>
      </c>
      <c r="J28" s="26" t="s">
        <v>305</v>
      </c>
      <c r="K28" s="27" t="s">
        <v>306</v>
      </c>
      <c r="L28" s="29" t="s">
        <v>243</v>
      </c>
      <c r="M28" s="29" t="s">
        <v>171</v>
      </c>
      <c r="N28" s="28" t="s">
        <v>307</v>
      </c>
    </row>
    <row r="29" spans="1:14" ht="51" x14ac:dyDescent="0.2">
      <c r="A29" s="22" t="s">
        <v>173</v>
      </c>
      <c r="B29" s="22" t="s">
        <v>175</v>
      </c>
      <c r="C29" s="22" t="s">
        <v>149</v>
      </c>
      <c r="D29" s="23" t="s">
        <v>308</v>
      </c>
      <c r="E29" s="22" t="s">
        <v>217</v>
      </c>
      <c r="F29" s="22" t="s">
        <v>218</v>
      </c>
      <c r="G29" s="23" t="s">
        <v>288</v>
      </c>
      <c r="H29" s="23" t="s">
        <v>220</v>
      </c>
      <c r="I29" s="22" t="s">
        <v>221</v>
      </c>
      <c r="J29" s="22" t="s">
        <v>177</v>
      </c>
      <c r="K29" s="23" t="s">
        <v>222</v>
      </c>
      <c r="L29" s="24" t="s">
        <v>223</v>
      </c>
      <c r="M29" s="22"/>
      <c r="N29" s="25" t="s">
        <v>309</v>
      </c>
    </row>
    <row r="31" spans="1:14" x14ac:dyDescent="0.2">
      <c r="A31" s="34" t="s">
        <v>310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</row>
  </sheetData>
  <mergeCells count="5">
    <mergeCell ref="A1:N1"/>
    <mergeCell ref="A2:N2"/>
    <mergeCell ref="A3:N3"/>
    <mergeCell ref="A5:N5"/>
    <mergeCell ref="A31:K31"/>
  </mergeCells>
  <pageMargins left="0.7" right="0.7" top="0.75" bottom="0.75" header="0.3" footer="0.3"/>
  <ignoredErrors>
    <ignoredError sqref="H7 H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RISK_CONTROL_MATRIX</vt:lpstr>
      <vt:lpstr>RCM_SUMMARY</vt:lpstr>
      <vt:lpstr>CONTROLS_TESTING_LOG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Sojan</dc:creator>
  <cp:lastModifiedBy>Pallavi Sojan</cp:lastModifiedBy>
  <dcterms:created xsi:type="dcterms:W3CDTF">2026-07-03T23:02:38Z</dcterms:created>
  <dcterms:modified xsi:type="dcterms:W3CDTF">2026-07-05T19:02:29Z</dcterms:modified>
</cp:coreProperties>
</file>