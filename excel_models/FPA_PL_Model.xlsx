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sojan/Documents/Finance Project/excel_models/"/>
    </mc:Choice>
  </mc:AlternateContent>
  <xr:revisionPtr revIDLastSave="0" documentId="13_ncr:1_{48636B42-C3D5-B848-A3EA-9D5652C280FE}" xr6:coauthVersionLast="47" xr6:coauthVersionMax="47" xr10:uidLastSave="{00000000-0000-0000-0000-000000000000}"/>
  <bookViews>
    <workbookView xWindow="780" yWindow="860" windowWidth="27700" windowHeight="16580" xr2:uid="{44908222-CA1A-C540-AD77-82728E507EAA}"/>
  </bookViews>
  <sheets>
    <sheet name="MGMT_SUMMARY" sheetId="14" r:id="rId1"/>
    <sheet name="PROJECT_SUMMARY" sheetId="15" r:id="rId2"/>
    <sheet name="RAW_DATA" sheetId="2" r:id="rId3"/>
    <sheet name="ASSUMPTIONS" sheetId="3" r:id="rId4"/>
    <sheet name="BALANCE_SHEET" sheetId="5" r:id="rId5"/>
    <sheet name="PL_MODEL" sheetId="4" r:id="rId6"/>
    <sheet name="CASH_FLOW" sheetId="6" r:id="rId7"/>
    <sheet name="BUDGET VS ACTUAL" sheetId="7" r:id="rId8"/>
    <sheet name="SCENARIO_ANALYSIS" sheetId="11" r:id="rId9"/>
    <sheet name="MODEL_VALIDATION" sheetId="12" r:id="rId10"/>
    <sheet name="CHARTS" sheetId="13" r:id="rId11"/>
    <sheet name="BI_DATA" sheetId="16" r:id="rId12"/>
  </sheets>
  <definedNames>
    <definedName name="_xlchart.v1.0" hidden="1">CHARTS!$A$57:$A$63</definedName>
    <definedName name="_xlchart.v1.1" hidden="1">CHARTS!$B$55:$B$56</definedName>
    <definedName name="_xlchart.v1.2" hidden="1">CHARTS!$B$57:$B$63</definedName>
    <definedName name="ExternalData_1" localSheetId="2" hidden="1">RAW_DATA!$A$1:$J$199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3" l="1"/>
  <c r="C48" i="13"/>
  <c r="C47" i="13"/>
  <c r="C46" i="13"/>
  <c r="B49" i="13"/>
  <c r="B48" i="13"/>
  <c r="B47" i="13"/>
  <c r="B46" i="13"/>
  <c r="C34" i="13"/>
  <c r="C33" i="13"/>
  <c r="C32" i="13"/>
  <c r="C31" i="13"/>
  <c r="B34" i="13"/>
  <c r="B33" i="13"/>
  <c r="B32" i="13"/>
  <c r="B31" i="13"/>
  <c r="B19" i="13"/>
  <c r="B18" i="13"/>
  <c r="B17" i="13"/>
  <c r="B16" i="13"/>
  <c r="C9" i="11"/>
  <c r="B77" i="13"/>
  <c r="B76" i="13"/>
  <c r="B75" i="13"/>
  <c r="B74" i="13"/>
  <c r="B12" i="11"/>
  <c r="B11" i="11"/>
  <c r="E9" i="11"/>
  <c r="D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292" i="16"/>
  <c r="E293" i="16"/>
  <c r="E294" i="16"/>
  <c r="E295" i="16"/>
  <c r="E296" i="16"/>
  <c r="E297" i="16"/>
  <c r="E298" i="16"/>
  <c r="E299" i="16"/>
  <c r="E300" i="16"/>
  <c r="E301" i="16"/>
  <c r="C10" i="12"/>
  <c r="K29" i="4"/>
  <c r="K31" i="4" s="1"/>
  <c r="J29" i="4"/>
  <c r="J31" i="4" s="1"/>
  <c r="I29" i="4"/>
  <c r="I31" i="4" s="1"/>
  <c r="H29" i="4"/>
  <c r="H31" i="4" s="1"/>
  <c r="G29" i="4"/>
  <c r="G31" i="4" s="1"/>
  <c r="F29" i="4"/>
  <c r="F31" i="4" s="1"/>
  <c r="E29" i="4"/>
  <c r="E31" i="4" s="1"/>
  <c r="D29" i="4"/>
  <c r="D30" i="4" s="1"/>
  <c r="C29" i="4"/>
  <c r="C31" i="4" s="1"/>
  <c r="B29" i="4"/>
  <c r="B31" i="4" s="1"/>
  <c r="H5" i="5"/>
  <c r="G5" i="5" s="1"/>
  <c r="G10" i="5" s="1"/>
  <c r="E257" i="16" s="1"/>
  <c r="C9" i="12"/>
  <c r="B18" i="6"/>
  <c r="K16" i="6"/>
  <c r="E430" i="16" s="1"/>
  <c r="J16" i="6"/>
  <c r="E429" i="16" s="1"/>
  <c r="I16" i="6"/>
  <c r="E428" i="16" s="1"/>
  <c r="H16" i="6"/>
  <c r="E427" i="16" s="1"/>
  <c r="G16" i="6"/>
  <c r="E426" i="16" s="1"/>
  <c r="F16" i="6"/>
  <c r="E425" i="16" s="1"/>
  <c r="E16" i="6"/>
  <c r="E424" i="16" s="1"/>
  <c r="D16" i="6"/>
  <c r="E423" i="16" s="1"/>
  <c r="C16" i="6"/>
  <c r="E422" i="16" s="1"/>
  <c r="E217" i="16" l="1"/>
  <c r="E218" i="16"/>
  <c r="G12" i="5"/>
  <c r="E277" i="16" s="1"/>
  <c r="H12" i="5"/>
  <c r="E278" i="16" s="1"/>
  <c r="G18" i="4"/>
  <c r="H18" i="4"/>
  <c r="G30" i="4"/>
  <c r="G7" i="4"/>
  <c r="C38" i="15"/>
  <c r="B30" i="4"/>
  <c r="H10" i="5"/>
  <c r="E258" i="16" s="1"/>
  <c r="D38" i="15"/>
  <c r="E30" i="4"/>
  <c r="C30" i="4"/>
  <c r="D31" i="4"/>
  <c r="F30" i="4"/>
  <c r="H30" i="4"/>
  <c r="I30" i="4"/>
  <c r="J30" i="4"/>
  <c r="K30" i="4"/>
  <c r="C17" i="14"/>
  <c r="H7" i="5"/>
  <c r="E238" i="16" s="1"/>
  <c r="H6" i="5"/>
  <c r="D17" i="14"/>
  <c r="I5" i="5"/>
  <c r="E219" i="16" s="1"/>
  <c r="F5" i="5"/>
  <c r="G7" i="5"/>
  <c r="E237" i="16" s="1"/>
  <c r="G6" i="5"/>
  <c r="E227" i="16" s="1"/>
  <c r="H10" i="6"/>
  <c r="E382" i="16" s="1"/>
  <c r="C7" i="7" l="1"/>
  <c r="E37" i="16"/>
  <c r="H7" i="4"/>
  <c r="E38" i="16" s="1"/>
  <c r="E228" i="16"/>
  <c r="D13" i="14"/>
  <c r="E138" i="16"/>
  <c r="E11" i="3"/>
  <c r="E137" i="16"/>
  <c r="C13" i="14"/>
  <c r="D9" i="12"/>
  <c r="E216" i="16"/>
  <c r="B58" i="13"/>
  <c r="G4" i="4"/>
  <c r="C17" i="7"/>
  <c r="B61" i="13"/>
  <c r="I10" i="6"/>
  <c r="E383" i="16" s="1"/>
  <c r="I10" i="5"/>
  <c r="E259" i="16" s="1"/>
  <c r="I18" i="4"/>
  <c r="E139" i="16" s="1"/>
  <c r="I12" i="5"/>
  <c r="E279" i="16" s="1"/>
  <c r="I7" i="5"/>
  <c r="H4" i="4"/>
  <c r="E8" i="16" s="1"/>
  <c r="J5" i="5"/>
  <c r="F12" i="5"/>
  <c r="E276" i="16" s="1"/>
  <c r="F10" i="5"/>
  <c r="E256" i="16" s="1"/>
  <c r="F18" i="4"/>
  <c r="I6" i="5"/>
  <c r="H11" i="6"/>
  <c r="E5" i="5"/>
  <c r="E215" i="16" s="1"/>
  <c r="F6" i="5"/>
  <c r="F7" i="5"/>
  <c r="E236" i="16" s="1"/>
  <c r="H7" i="6"/>
  <c r="E364" i="16" s="1"/>
  <c r="G10" i="6"/>
  <c r="E381" i="16" s="1"/>
  <c r="I11" i="6" l="1"/>
  <c r="E229" i="16"/>
  <c r="J6" i="5"/>
  <c r="E230" i="16" s="1"/>
  <c r="E220" i="16"/>
  <c r="F4" i="4"/>
  <c r="E226" i="16"/>
  <c r="C4" i="7"/>
  <c r="E7" i="16"/>
  <c r="I7" i="6"/>
  <c r="E365" i="16" s="1"/>
  <c r="E239" i="16"/>
  <c r="H12" i="6"/>
  <c r="E400" i="16" s="1"/>
  <c r="E391" i="16"/>
  <c r="B17" i="7"/>
  <c r="D17" i="7" s="1"/>
  <c r="E136" i="16"/>
  <c r="J11" i="6"/>
  <c r="E393" i="16" s="1"/>
  <c r="J7" i="5"/>
  <c r="E240" i="16" s="1"/>
  <c r="K5" i="5"/>
  <c r="J10" i="6"/>
  <c r="E384" i="16" s="1"/>
  <c r="I7" i="4"/>
  <c r="E39" i="16" s="1"/>
  <c r="J7" i="6"/>
  <c r="E366" i="16" s="1"/>
  <c r="F7" i="4"/>
  <c r="I4" i="4"/>
  <c r="E9" i="16" s="1"/>
  <c r="E17" i="14"/>
  <c r="E38" i="15"/>
  <c r="K12" i="5"/>
  <c r="E281" i="16" s="1"/>
  <c r="K10" i="5"/>
  <c r="E261" i="16" s="1"/>
  <c r="F10" i="6"/>
  <c r="E380" i="16" s="1"/>
  <c r="E12" i="5"/>
  <c r="E275" i="16" s="1"/>
  <c r="E10" i="5"/>
  <c r="E255" i="16" s="1"/>
  <c r="E18" i="4"/>
  <c r="E135" i="16" s="1"/>
  <c r="J10" i="5"/>
  <c r="E260" i="16" s="1"/>
  <c r="J18" i="4"/>
  <c r="E140" i="16" s="1"/>
  <c r="J7" i="4"/>
  <c r="E40" i="16" s="1"/>
  <c r="J4" i="4"/>
  <c r="E10" i="16" s="1"/>
  <c r="J12" i="5"/>
  <c r="E280" i="16" s="1"/>
  <c r="E6" i="5"/>
  <c r="D5" i="5"/>
  <c r="E214" i="16" s="1"/>
  <c r="E7" i="5"/>
  <c r="J12" i="6"/>
  <c r="E402" i="16" s="1"/>
  <c r="K6" i="5"/>
  <c r="G7" i="6"/>
  <c r="E363" i="16" s="1"/>
  <c r="G11" i="6"/>
  <c r="K7" i="5"/>
  <c r="E17" i="7" l="1"/>
  <c r="F17" i="7" s="1"/>
  <c r="K11" i="6"/>
  <c r="E394" i="16" s="1"/>
  <c r="E231" i="16"/>
  <c r="E7" i="4"/>
  <c r="E35" i="16" s="1"/>
  <c r="E225" i="16"/>
  <c r="G12" i="6"/>
  <c r="E399" i="16" s="1"/>
  <c r="E390" i="16"/>
  <c r="B7" i="7"/>
  <c r="E7" i="7" s="1"/>
  <c r="F7" i="7" s="1"/>
  <c r="E36" i="16"/>
  <c r="K7" i="6"/>
  <c r="E367" i="16" s="1"/>
  <c r="E241" i="16"/>
  <c r="B4" i="7"/>
  <c r="E4" i="7" s="1"/>
  <c r="E6" i="16"/>
  <c r="F7" i="6"/>
  <c r="E362" i="16" s="1"/>
  <c r="E235" i="16"/>
  <c r="E4" i="4"/>
  <c r="E5" i="16" s="1"/>
  <c r="K18" i="4"/>
  <c r="E141" i="16" s="1"/>
  <c r="E221" i="16"/>
  <c r="I12" i="6"/>
  <c r="E401" i="16" s="1"/>
  <c r="E392" i="16"/>
  <c r="K10" i="6"/>
  <c r="E385" i="16" s="1"/>
  <c r="D7" i="7"/>
  <c r="K7" i="4"/>
  <c r="E41" i="16" s="1"/>
  <c r="K4" i="4"/>
  <c r="E11" i="16" s="1"/>
  <c r="D18" i="4"/>
  <c r="E134" i="16" s="1"/>
  <c r="D12" i="5"/>
  <c r="E274" i="16" s="1"/>
  <c r="D10" i="5"/>
  <c r="E254" i="16" s="1"/>
  <c r="D6" i="5"/>
  <c r="C5" i="5"/>
  <c r="E213" i="16" s="1"/>
  <c r="D7" i="5"/>
  <c r="E234" i="16" s="1"/>
  <c r="E10" i="6"/>
  <c r="E379" i="16" s="1"/>
  <c r="F11" i="6"/>
  <c r="D7" i="4" l="1"/>
  <c r="E34" i="16" s="1"/>
  <c r="E224" i="16"/>
  <c r="K12" i="6"/>
  <c r="E403" i="16" s="1"/>
  <c r="F12" i="6"/>
  <c r="E398" i="16" s="1"/>
  <c r="E389" i="16"/>
  <c r="D4" i="7"/>
  <c r="F4" i="7" s="1"/>
  <c r="D4" i="4"/>
  <c r="E4" i="16" s="1"/>
  <c r="B5" i="5"/>
  <c r="E212" i="16" s="1"/>
  <c r="C18" i="4"/>
  <c r="E133" i="16" s="1"/>
  <c r="C12" i="5"/>
  <c r="E273" i="16" s="1"/>
  <c r="C10" i="5"/>
  <c r="E253" i="16" s="1"/>
  <c r="C6" i="5"/>
  <c r="C7" i="5"/>
  <c r="E233" i="16" s="1"/>
  <c r="D10" i="6"/>
  <c r="E378" i="16" s="1"/>
  <c r="E7" i="6"/>
  <c r="E361" i="16" s="1"/>
  <c r="E11" i="6"/>
  <c r="E12" i="6" l="1"/>
  <c r="E397" i="16" s="1"/>
  <c r="E388" i="16"/>
  <c r="D11" i="6"/>
  <c r="E387" i="16" s="1"/>
  <c r="E223" i="16"/>
  <c r="C4" i="4"/>
  <c r="E3" i="16" s="1"/>
  <c r="C7" i="4"/>
  <c r="E33" i="16" s="1"/>
  <c r="B18" i="4"/>
  <c r="E132" i="16" s="1"/>
  <c r="B12" i="5"/>
  <c r="E272" i="16" s="1"/>
  <c r="B10" i="5"/>
  <c r="B6" i="5"/>
  <c r="B7" i="5"/>
  <c r="C10" i="6"/>
  <c r="E377" i="16" s="1"/>
  <c r="D7" i="6"/>
  <c r="E360" i="16" s="1"/>
  <c r="C7" i="6" l="1"/>
  <c r="E359" i="16" s="1"/>
  <c r="E232" i="16"/>
  <c r="C11" i="6"/>
  <c r="E386" i="16" s="1"/>
  <c r="E222" i="16"/>
  <c r="D12" i="6"/>
  <c r="E396" i="16" s="1"/>
  <c r="B11" i="5"/>
  <c r="E262" i="16" s="1"/>
  <c r="E252" i="16"/>
  <c r="B4" i="4"/>
  <c r="E2" i="16" s="1"/>
  <c r="B7" i="4"/>
  <c r="E32" i="16" s="1"/>
  <c r="C12" i="6" l="1"/>
  <c r="E395" i="16" s="1"/>
  <c r="B22" i="5"/>
  <c r="D11" i="5" l="1"/>
  <c r="E264" i="16" s="1"/>
  <c r="C11" i="5"/>
  <c r="E263" i="16" s="1"/>
  <c r="E11" i="5"/>
  <c r="E265" i="16" s="1"/>
  <c r="D22" i="5"/>
  <c r="F11" i="5" l="1"/>
  <c r="E266" i="16" s="1"/>
  <c r="E22" i="5"/>
  <c r="E5" i="6"/>
  <c r="E343" i="16" s="1"/>
  <c r="C5" i="6"/>
  <c r="E341" i="16" s="1"/>
  <c r="D5" i="6"/>
  <c r="E342" i="16" s="1"/>
  <c r="C22" i="5"/>
  <c r="G11" i="5" l="1"/>
  <c r="E267" i="16" s="1"/>
  <c r="F22" i="5"/>
  <c r="F5" i="6"/>
  <c r="E344" i="16" s="1"/>
  <c r="H11" i="5" l="1"/>
  <c r="E268" i="16" s="1"/>
  <c r="C18" i="14"/>
  <c r="D10" i="12"/>
  <c r="G22" i="5"/>
  <c r="G5" i="6"/>
  <c r="E345" i="16" s="1"/>
  <c r="E10" i="12" l="1"/>
  <c r="F10" i="12" s="1"/>
  <c r="I11" i="5"/>
  <c r="E269" i="16" s="1"/>
  <c r="D18" i="14"/>
  <c r="H22" i="5"/>
  <c r="H5" i="6"/>
  <c r="E346" i="16" s="1"/>
  <c r="J11" i="5" l="1"/>
  <c r="E270" i="16" s="1"/>
  <c r="I5" i="6"/>
  <c r="E347" i="16" s="1"/>
  <c r="I22" i="5"/>
  <c r="K11" i="5" l="1"/>
  <c r="J5" i="6"/>
  <c r="E348" i="16" s="1"/>
  <c r="J22" i="5"/>
  <c r="E271" i="16" l="1"/>
  <c r="B32" i="3"/>
  <c r="C35" i="3"/>
  <c r="B37" i="3"/>
  <c r="C38" i="3"/>
  <c r="D36" i="3"/>
  <c r="B35" i="3"/>
  <c r="E38" i="3"/>
  <c r="F37" i="3"/>
  <c r="E34" i="3"/>
  <c r="D38" i="3"/>
  <c r="D37" i="3"/>
  <c r="B36" i="3"/>
  <c r="H36" i="3"/>
  <c r="C36" i="3"/>
  <c r="G32" i="3"/>
  <c r="C34" i="3"/>
  <c r="E32" i="3"/>
  <c r="C32" i="3"/>
  <c r="B38" i="3"/>
  <c r="G37" i="3"/>
  <c r="G35" i="3"/>
  <c r="H37" i="3"/>
  <c r="E33" i="3"/>
  <c r="F34" i="3"/>
  <c r="H32" i="3"/>
  <c r="E36" i="3"/>
  <c r="B33" i="3"/>
  <c r="D34" i="3"/>
  <c r="D32" i="3"/>
  <c r="D35" i="3"/>
  <c r="C37" i="3"/>
  <c r="B34" i="3"/>
  <c r="H35" i="3"/>
  <c r="F32" i="3"/>
  <c r="E35" i="3"/>
  <c r="F33" i="3"/>
  <c r="G34" i="3"/>
  <c r="G36" i="3"/>
  <c r="H33" i="3"/>
  <c r="G38" i="3"/>
  <c r="C33" i="3"/>
  <c r="E37" i="3"/>
  <c r="F35" i="3"/>
  <c r="F38" i="3"/>
  <c r="H38" i="3"/>
  <c r="H34" i="3"/>
  <c r="F36" i="3"/>
  <c r="G33" i="3"/>
  <c r="D33" i="3"/>
  <c r="E18" i="14"/>
  <c r="K5" i="6"/>
  <c r="E349" i="16" s="1"/>
  <c r="K22" i="5"/>
  <c r="D36" i="12" s="1" a="1"/>
  <c r="D36" i="12" s="1"/>
  <c r="E36" i="12" s="1"/>
  <c r="F36" i="12" s="1"/>
  <c r="K6" i="6" l="1"/>
  <c r="E358" i="16" s="1"/>
  <c r="J6" i="6"/>
  <c r="E357" i="16" s="1"/>
  <c r="I6" i="6"/>
  <c r="E356" i="16" s="1"/>
  <c r="H6" i="6"/>
  <c r="E355" i="16" s="1"/>
  <c r="F6" i="6"/>
  <c r="E353" i="16" s="1"/>
  <c r="E6" i="6"/>
  <c r="E352" i="16" s="1"/>
  <c r="D6" i="6"/>
  <c r="E351" i="16" s="1"/>
  <c r="C6" i="6"/>
  <c r="E350" i="16" s="1"/>
  <c r="G6" i="6"/>
  <c r="E354" i="16" s="1"/>
  <c r="B13" i="5"/>
  <c r="E282" i="16" s="1"/>
  <c r="B5" i="4"/>
  <c r="B6" i="4" l="1"/>
  <c r="E22" i="16" s="1"/>
  <c r="E12" i="16"/>
  <c r="B8" i="4"/>
  <c r="B10" i="13"/>
  <c r="B24" i="4"/>
  <c r="E182" i="16" s="1"/>
  <c r="B9" i="4" l="1"/>
  <c r="E42" i="16"/>
  <c r="C40" i="13"/>
  <c r="B10" i="4" l="1"/>
  <c r="E52" i="16"/>
  <c r="E62" i="16" l="1"/>
  <c r="B15" i="4"/>
  <c r="B12" i="4"/>
  <c r="B25" i="13"/>
  <c r="B13" i="4"/>
  <c r="B14" i="4"/>
  <c r="C13" i="4" l="1"/>
  <c r="E82" i="16"/>
  <c r="E72" i="16"/>
  <c r="C12" i="4"/>
  <c r="B16" i="4"/>
  <c r="C14" i="4"/>
  <c r="E92" i="16"/>
  <c r="C15" i="4"/>
  <c r="E102" i="16"/>
  <c r="D14" i="4" l="1"/>
  <c r="E93" i="16"/>
  <c r="D15" i="4"/>
  <c r="E103" i="16"/>
  <c r="E112" i="16"/>
  <c r="B23" i="4"/>
  <c r="E172" i="16" s="1"/>
  <c r="C25" i="13"/>
  <c r="B17" i="4"/>
  <c r="D12" i="4"/>
  <c r="E73" i="16"/>
  <c r="D13" i="4"/>
  <c r="E83" i="16"/>
  <c r="E122" i="16" l="1"/>
  <c r="B19" i="4"/>
  <c r="B26" i="4"/>
  <c r="E13" i="4"/>
  <c r="E84" i="16"/>
  <c r="E15" i="4"/>
  <c r="E104" i="16"/>
  <c r="E12" i="4"/>
  <c r="E74" i="16"/>
  <c r="E14" i="4"/>
  <c r="E94" i="16"/>
  <c r="F15" i="4" l="1"/>
  <c r="E105" i="16"/>
  <c r="F12" i="4"/>
  <c r="E75" i="16"/>
  <c r="F13" i="4"/>
  <c r="E85" i="16"/>
  <c r="F14" i="4"/>
  <c r="E95" i="16"/>
  <c r="E142" i="16"/>
  <c r="B20" i="4"/>
  <c r="E152" i="16" s="1"/>
  <c r="G13" i="4" l="1"/>
  <c r="E86" i="16"/>
  <c r="G14" i="4"/>
  <c r="E96" i="16"/>
  <c r="B21" i="4"/>
  <c r="G12" i="4"/>
  <c r="E76" i="16"/>
  <c r="G15" i="4"/>
  <c r="E106" i="16"/>
  <c r="H14" i="4" l="1"/>
  <c r="E97" i="16"/>
  <c r="H15" i="4"/>
  <c r="E107" i="16"/>
  <c r="E162" i="16"/>
  <c r="B40" i="13"/>
  <c r="B16" i="5"/>
  <c r="H12" i="4"/>
  <c r="E77" i="16"/>
  <c r="H13" i="4"/>
  <c r="E87" i="16"/>
  <c r="E13" i="14"/>
  <c r="E16" i="4"/>
  <c r="B12" i="7"/>
  <c r="C11" i="7"/>
  <c r="H16" i="4"/>
  <c r="E118" i="16" s="1"/>
  <c r="B11" i="7"/>
  <c r="B14" i="7"/>
  <c r="C16" i="4"/>
  <c r="C14" i="12"/>
  <c r="C13" i="7"/>
  <c r="D16" i="4"/>
  <c r="G16" i="4"/>
  <c r="C12" i="7"/>
  <c r="C14" i="7"/>
  <c r="F16" i="4"/>
  <c r="B13" i="7"/>
  <c r="C26" i="13" l="1"/>
  <c r="E113" i="16"/>
  <c r="C30" i="13"/>
  <c r="E117" i="16"/>
  <c r="E9" i="3"/>
  <c r="C27" i="13"/>
  <c r="E114" i="16"/>
  <c r="E302" i="16"/>
  <c r="B17" i="5"/>
  <c r="C29" i="13"/>
  <c r="E116" i="16"/>
  <c r="C28" i="13"/>
  <c r="E115" i="16"/>
  <c r="I13" i="4"/>
  <c r="E88" i="16"/>
  <c r="I15" i="4"/>
  <c r="E108" i="16"/>
  <c r="E12" i="7"/>
  <c r="F12" i="7" s="1"/>
  <c r="D12" i="14"/>
  <c r="I12" i="4"/>
  <c r="E78" i="16"/>
  <c r="I14" i="4"/>
  <c r="E98" i="16"/>
  <c r="D11" i="7"/>
  <c r="C12" i="14"/>
  <c r="B60" i="13"/>
  <c r="C15" i="7"/>
  <c r="E11" i="7"/>
  <c r="F11" i="7" s="1"/>
  <c r="D14" i="7"/>
  <c r="D13" i="7"/>
  <c r="B15" i="7"/>
  <c r="D12" i="7"/>
  <c r="E13" i="7"/>
  <c r="F13" i="7" s="1"/>
  <c r="E14" i="7"/>
  <c r="F14" i="7" s="1"/>
  <c r="D14" i="12"/>
  <c r="E14" i="12" s="1"/>
  <c r="F14" i="12" s="1"/>
  <c r="F13" i="5"/>
  <c r="E286" i="16" s="1"/>
  <c r="K13" i="5"/>
  <c r="E291" i="16" s="1"/>
  <c r="J13" i="5"/>
  <c r="E290" i="16" s="1"/>
  <c r="D13" i="5"/>
  <c r="E284" i="16" s="1"/>
  <c r="C13" i="5"/>
  <c r="E283" i="16" s="1"/>
  <c r="I13" i="5"/>
  <c r="E289" i="16" s="1"/>
  <c r="E5" i="4"/>
  <c r="H13" i="5"/>
  <c r="E288" i="16" s="1"/>
  <c r="G13" i="5"/>
  <c r="E287" i="16" s="1"/>
  <c r="I5" i="4"/>
  <c r="E13" i="5"/>
  <c r="E285" i="16" s="1"/>
  <c r="H5" i="4"/>
  <c r="D5" i="4"/>
  <c r="J5" i="4"/>
  <c r="K5" i="4"/>
  <c r="G5" i="4"/>
  <c r="C5" i="4"/>
  <c r="F5" i="4"/>
  <c r="D15" i="6"/>
  <c r="E414" i="16" s="1"/>
  <c r="E15" i="6"/>
  <c r="E415" i="16" s="1"/>
  <c r="F15" i="6"/>
  <c r="E416" i="16" s="1"/>
  <c r="I15" i="6"/>
  <c r="E419" i="16" s="1"/>
  <c r="J15" i="6"/>
  <c r="E420" i="16" s="1"/>
  <c r="G15" i="6"/>
  <c r="E417" i="16" s="1"/>
  <c r="H15" i="6"/>
  <c r="E418" i="16" s="1"/>
  <c r="C15" i="6"/>
  <c r="E413" i="16" s="1"/>
  <c r="K15" i="6"/>
  <c r="E421" i="16" s="1"/>
  <c r="C6" i="4" l="1"/>
  <c r="E23" i="16" s="1"/>
  <c r="E13" i="16"/>
  <c r="H6" i="4"/>
  <c r="E28" i="16" s="1"/>
  <c r="E18" i="16"/>
  <c r="J15" i="4"/>
  <c r="E109" i="16"/>
  <c r="B5" i="7"/>
  <c r="E16" i="16"/>
  <c r="I6" i="4"/>
  <c r="E29" i="16" s="1"/>
  <c r="E19" i="16"/>
  <c r="J14" i="4"/>
  <c r="E99" i="16"/>
  <c r="J13" i="4"/>
  <c r="E89" i="16"/>
  <c r="K6" i="4"/>
  <c r="E21" i="16"/>
  <c r="E6" i="4"/>
  <c r="E15" i="16"/>
  <c r="J12" i="4"/>
  <c r="E79" i="16"/>
  <c r="I16" i="4"/>
  <c r="E119" i="16" s="1"/>
  <c r="C5" i="7"/>
  <c r="E5" i="7" s="1"/>
  <c r="E17" i="16"/>
  <c r="J6" i="4"/>
  <c r="E30" i="16" s="1"/>
  <c r="E20" i="16"/>
  <c r="D6" i="4"/>
  <c r="E24" i="16" s="1"/>
  <c r="E14" i="16"/>
  <c r="E312" i="16"/>
  <c r="B18" i="5"/>
  <c r="E322" i="16" s="1"/>
  <c r="B4" i="5"/>
  <c r="B23" i="5"/>
  <c r="B25" i="4"/>
  <c r="E192" i="16" s="1"/>
  <c r="D15" i="7"/>
  <c r="E15" i="7"/>
  <c r="F15" i="7" s="1"/>
  <c r="C24" i="4"/>
  <c r="E183" i="16" s="1"/>
  <c r="B11" i="13"/>
  <c r="D24" i="4"/>
  <c r="B12" i="13"/>
  <c r="F6" i="4"/>
  <c r="H24" i="4"/>
  <c r="D10" i="14"/>
  <c r="G6" i="4"/>
  <c r="C8" i="4"/>
  <c r="D5" i="7"/>
  <c r="E24" i="4"/>
  <c r="E8" i="4"/>
  <c r="I8" i="4"/>
  <c r="I24" i="4"/>
  <c r="E189" i="16" s="1"/>
  <c r="K8" i="4"/>
  <c r="J24" i="4"/>
  <c r="E190" i="16" s="1"/>
  <c r="D8" i="4"/>
  <c r="E10" i="14"/>
  <c r="J8" i="4"/>
  <c r="D9" i="4" l="1"/>
  <c r="E44" i="16"/>
  <c r="C42" i="13"/>
  <c r="E184" i="16"/>
  <c r="I9" i="4"/>
  <c r="E49" i="16"/>
  <c r="J9" i="4"/>
  <c r="E50" i="16"/>
  <c r="C43" i="13"/>
  <c r="E185" i="16"/>
  <c r="F24" i="4"/>
  <c r="E26" i="16"/>
  <c r="K15" i="4"/>
  <c r="E111" i="16" s="1"/>
  <c r="E110" i="16"/>
  <c r="K24" i="4"/>
  <c r="E31" i="16"/>
  <c r="E202" i="16"/>
  <c r="B19" i="6"/>
  <c r="B20" i="6" s="1"/>
  <c r="B8" i="5"/>
  <c r="C9" i="4"/>
  <c r="E43" i="16"/>
  <c r="E7" i="3"/>
  <c r="E27" i="16"/>
  <c r="K12" i="4"/>
  <c r="E80" i="16"/>
  <c r="J16" i="4"/>
  <c r="E120" i="16" s="1"/>
  <c r="K14" i="4"/>
  <c r="E101" i="16" s="1"/>
  <c r="E100" i="16"/>
  <c r="K9" i="4"/>
  <c r="E51" i="16"/>
  <c r="K13" i="4"/>
  <c r="E91" i="16" s="1"/>
  <c r="E90" i="16"/>
  <c r="D35" i="15"/>
  <c r="E188" i="16"/>
  <c r="E9" i="4"/>
  <c r="E45" i="16"/>
  <c r="H8" i="4"/>
  <c r="B13" i="13"/>
  <c r="E25" i="16"/>
  <c r="B6" i="7"/>
  <c r="E6" i="7" s="1"/>
  <c r="G24" i="4"/>
  <c r="E187" i="16" s="1"/>
  <c r="B15" i="13"/>
  <c r="C41" i="13"/>
  <c r="F8" i="4"/>
  <c r="E46" i="16" s="1"/>
  <c r="B14" i="13"/>
  <c r="C6" i="7"/>
  <c r="B57" i="13"/>
  <c r="C10" i="14"/>
  <c r="G8" i="4"/>
  <c r="F5" i="7"/>
  <c r="E81" i="16" l="1"/>
  <c r="K16" i="4"/>
  <c r="J10" i="4"/>
  <c r="E60" i="16"/>
  <c r="E35" i="15"/>
  <c r="E191" i="16"/>
  <c r="D37" i="12" a="1"/>
  <c r="D37" i="12" s="1"/>
  <c r="E37" i="12" s="1"/>
  <c r="F37" i="12" s="1"/>
  <c r="C8" i="7"/>
  <c r="E47" i="16"/>
  <c r="H9" i="4"/>
  <c r="E48" i="16"/>
  <c r="K10" i="4"/>
  <c r="E61" i="16"/>
  <c r="I10" i="4"/>
  <c r="E59" i="16"/>
  <c r="C10" i="4"/>
  <c r="E53" i="16"/>
  <c r="E242" i="16"/>
  <c r="B19" i="5"/>
  <c r="D7" i="12" s="1"/>
  <c r="E7" i="12" s="1"/>
  <c r="F7" i="12" s="1"/>
  <c r="B24" i="5"/>
  <c r="B25" i="5"/>
  <c r="C44" i="13"/>
  <c r="E186" i="16"/>
  <c r="C19" i="6"/>
  <c r="E449" i="16" s="1"/>
  <c r="B22" i="6"/>
  <c r="E10" i="4"/>
  <c r="E55" i="16"/>
  <c r="D10" i="4"/>
  <c r="E54" i="16"/>
  <c r="D6" i="7"/>
  <c r="B8" i="7"/>
  <c r="F9" i="4"/>
  <c r="E56" i="16" s="1"/>
  <c r="C45" i="13"/>
  <c r="C35" i="15"/>
  <c r="G9" i="4"/>
  <c r="B59" i="13"/>
  <c r="F6" i="7"/>
  <c r="E8" i="7"/>
  <c r="D8" i="7"/>
  <c r="C23" i="4" l="1"/>
  <c r="E173" i="16" s="1"/>
  <c r="E63" i="16"/>
  <c r="C17" i="4"/>
  <c r="B26" i="13"/>
  <c r="E64" i="16"/>
  <c r="D17" i="4"/>
  <c r="B27" i="13"/>
  <c r="D23" i="4"/>
  <c r="E174" i="16" s="1"/>
  <c r="E65" i="16"/>
  <c r="E23" i="4"/>
  <c r="E175" i="16" s="1"/>
  <c r="E17" i="4"/>
  <c r="B28" i="13"/>
  <c r="H10" i="4"/>
  <c r="E58" i="16"/>
  <c r="E69" i="16"/>
  <c r="I17" i="4"/>
  <c r="I23" i="4"/>
  <c r="E179" i="16" s="1"/>
  <c r="E71" i="16"/>
  <c r="K17" i="4"/>
  <c r="E11" i="14"/>
  <c r="G10" i="4"/>
  <c r="E57" i="16"/>
  <c r="E70" i="16"/>
  <c r="J17" i="4"/>
  <c r="J23" i="4"/>
  <c r="E180" i="16" s="1"/>
  <c r="E12" i="14"/>
  <c r="E121" i="16"/>
  <c r="K23" i="4"/>
  <c r="C13" i="12"/>
  <c r="C9" i="7"/>
  <c r="E9" i="7" s="1"/>
  <c r="B9" i="7"/>
  <c r="D9" i="7" s="1"/>
  <c r="F10" i="4"/>
  <c r="E66" i="16" s="1"/>
  <c r="F8" i="7"/>
  <c r="G23" i="4"/>
  <c r="C11" i="14"/>
  <c r="E67" i="16" l="1"/>
  <c r="E8" i="3"/>
  <c r="E37" i="15"/>
  <c r="E181" i="16"/>
  <c r="G17" i="4"/>
  <c r="C16" i="7" s="1"/>
  <c r="E130" i="16"/>
  <c r="J19" i="4"/>
  <c r="J26" i="4"/>
  <c r="E129" i="16"/>
  <c r="I19" i="4"/>
  <c r="I26" i="4"/>
  <c r="E124" i="16"/>
  <c r="D19" i="4"/>
  <c r="D26" i="4"/>
  <c r="C37" i="15"/>
  <c r="E177" i="16"/>
  <c r="H17" i="4"/>
  <c r="E68" i="16"/>
  <c r="H23" i="4"/>
  <c r="D11" i="14"/>
  <c r="E131" i="16"/>
  <c r="K26" i="4"/>
  <c r="K19" i="4"/>
  <c r="E125" i="16"/>
  <c r="E26" i="4"/>
  <c r="E19" i="4"/>
  <c r="C26" i="4"/>
  <c r="E123" i="16"/>
  <c r="C19" i="4"/>
  <c r="D13" i="12"/>
  <c r="E13" i="12" s="1"/>
  <c r="F13" i="12" s="1"/>
  <c r="B30" i="13"/>
  <c r="C10" i="7"/>
  <c r="B29" i="13"/>
  <c r="F23" i="4"/>
  <c r="E176" i="16" s="1"/>
  <c r="B10" i="7"/>
  <c r="F17" i="4"/>
  <c r="E126" i="16" s="1"/>
  <c r="F9" i="7"/>
  <c r="G19" i="4"/>
  <c r="G26" i="4"/>
  <c r="C15" i="12"/>
  <c r="E151" i="16" l="1"/>
  <c r="E14" i="14"/>
  <c r="K20" i="4"/>
  <c r="E150" i="16"/>
  <c r="J20" i="4"/>
  <c r="E147" i="16"/>
  <c r="E12" i="3"/>
  <c r="E127" i="16"/>
  <c r="E10" i="3"/>
  <c r="E143" i="16"/>
  <c r="C20" i="4"/>
  <c r="E144" i="16"/>
  <c r="D20" i="4"/>
  <c r="D37" i="15"/>
  <c r="E178" i="16"/>
  <c r="E149" i="16"/>
  <c r="I20" i="4"/>
  <c r="E10" i="7"/>
  <c r="F10" i="7" s="1"/>
  <c r="E145" i="16"/>
  <c r="E20" i="4"/>
  <c r="E128" i="16"/>
  <c r="H26" i="4"/>
  <c r="H19" i="4"/>
  <c r="D10" i="7"/>
  <c r="F19" i="4"/>
  <c r="E146" i="16" s="1"/>
  <c r="B16" i="7"/>
  <c r="E16" i="7" s="1"/>
  <c r="F26" i="4"/>
  <c r="C14" i="14"/>
  <c r="C17" i="12"/>
  <c r="C18" i="7"/>
  <c r="G20" i="4"/>
  <c r="D15" i="12"/>
  <c r="E15" i="12" s="1"/>
  <c r="F15" i="12" s="1"/>
  <c r="C16" i="12" l="1"/>
  <c r="E157" i="16"/>
  <c r="E148" i="16"/>
  <c r="D14" i="14"/>
  <c r="H20" i="4"/>
  <c r="D21" i="4"/>
  <c r="E154" i="16"/>
  <c r="J21" i="4"/>
  <c r="E160" i="16"/>
  <c r="E21" i="4"/>
  <c r="E155" i="16"/>
  <c r="C21" i="4"/>
  <c r="E153" i="16"/>
  <c r="K21" i="4"/>
  <c r="E161" i="16"/>
  <c r="I21" i="4"/>
  <c r="E159" i="16"/>
  <c r="D16" i="7"/>
  <c r="F20" i="4"/>
  <c r="E156" i="16" s="1"/>
  <c r="B18" i="7"/>
  <c r="G21" i="4"/>
  <c r="D18" i="7"/>
  <c r="E18" i="7"/>
  <c r="F18" i="7" s="1"/>
  <c r="C15" i="14"/>
  <c r="C21" i="12"/>
  <c r="F16" i="7"/>
  <c r="C19" i="7"/>
  <c r="B62" i="13"/>
  <c r="D17" i="12"/>
  <c r="E17" i="12" s="1"/>
  <c r="F17" i="12" s="1"/>
  <c r="E164" i="16" l="1"/>
  <c r="D4" i="6"/>
  <c r="B42" i="13"/>
  <c r="D14" i="6"/>
  <c r="E170" i="16"/>
  <c r="J14" i="6"/>
  <c r="J4" i="6"/>
  <c r="E34" i="15"/>
  <c r="E171" i="16"/>
  <c r="K14" i="6"/>
  <c r="K4" i="6"/>
  <c r="E15" i="14"/>
  <c r="D16" i="12"/>
  <c r="E16" i="12" s="1"/>
  <c r="F16" i="12" s="1"/>
  <c r="E13" i="3"/>
  <c r="E167" i="16"/>
  <c r="E169" i="16"/>
  <c r="I14" i="6"/>
  <c r="I4" i="6"/>
  <c r="H21" i="4"/>
  <c r="E158" i="16"/>
  <c r="E163" i="16"/>
  <c r="B41" i="13"/>
  <c r="C14" i="6"/>
  <c r="C16" i="5"/>
  <c r="C4" i="6"/>
  <c r="E165" i="16"/>
  <c r="E4" i="6"/>
  <c r="B43" i="13"/>
  <c r="E14" i="6"/>
  <c r="C20" i="7"/>
  <c r="G14" i="6"/>
  <c r="G4" i="6"/>
  <c r="B45" i="13"/>
  <c r="C34" i="15"/>
  <c r="C24" i="14"/>
  <c r="B63" i="13"/>
  <c r="B19" i="7"/>
  <c r="E19" i="7" s="1"/>
  <c r="F21" i="4"/>
  <c r="E166" i="16" s="1"/>
  <c r="G8" i="6"/>
  <c r="E17" i="6" l="1"/>
  <c r="E433" i="16" s="1"/>
  <c r="E406" i="16"/>
  <c r="E303" i="16"/>
  <c r="D16" i="5"/>
  <c r="C17" i="5"/>
  <c r="E372" i="16"/>
  <c r="C17" i="6"/>
  <c r="E431" i="16" s="1"/>
  <c r="E404" i="16"/>
  <c r="J8" i="6"/>
  <c r="E339" i="16"/>
  <c r="J17" i="6"/>
  <c r="E438" i="16" s="1"/>
  <c r="E411" i="16"/>
  <c r="D34" i="15"/>
  <c r="E168" i="16"/>
  <c r="H14" i="6"/>
  <c r="D15" i="14"/>
  <c r="H4" i="6"/>
  <c r="K8" i="6"/>
  <c r="E340" i="16"/>
  <c r="D17" i="6"/>
  <c r="E432" i="16" s="1"/>
  <c r="E405" i="16"/>
  <c r="I8" i="6"/>
  <c r="E338" i="16"/>
  <c r="K17" i="6"/>
  <c r="E439" i="16" s="1"/>
  <c r="E412" i="16"/>
  <c r="D8" i="6"/>
  <c r="E333" i="16"/>
  <c r="E8" i="6"/>
  <c r="E334" i="16"/>
  <c r="D21" i="12"/>
  <c r="E21" i="12" s="1"/>
  <c r="F21" i="12" s="1"/>
  <c r="E336" i="16"/>
  <c r="G17" i="6"/>
  <c r="E435" i="16" s="1"/>
  <c r="E408" i="16"/>
  <c r="C8" i="6"/>
  <c r="E332" i="16"/>
  <c r="I17" i="6"/>
  <c r="E437" i="16" s="1"/>
  <c r="E410" i="16"/>
  <c r="D19" i="7"/>
  <c r="B44" i="13"/>
  <c r="B20" i="7"/>
  <c r="F14" i="6"/>
  <c r="F4" i="6"/>
  <c r="F19" i="7"/>
  <c r="E374" i="16" l="1"/>
  <c r="I18" i="6"/>
  <c r="E446" i="16" s="1"/>
  <c r="E313" i="16"/>
  <c r="C4" i="5"/>
  <c r="C23" i="5"/>
  <c r="C18" i="5"/>
  <c r="E323" i="16" s="1"/>
  <c r="C25" i="4"/>
  <c r="E193" i="16" s="1"/>
  <c r="E370" i="16"/>
  <c r="E18" i="6"/>
  <c r="E442" i="16" s="1"/>
  <c r="E304" i="16"/>
  <c r="E16" i="5"/>
  <c r="D17" i="5"/>
  <c r="G18" i="6"/>
  <c r="F8" i="6"/>
  <c r="E335" i="16"/>
  <c r="E368" i="16"/>
  <c r="C18" i="6"/>
  <c r="E369" i="16"/>
  <c r="D18" i="6"/>
  <c r="E376" i="16"/>
  <c r="K18" i="6"/>
  <c r="E448" i="16" s="1"/>
  <c r="H17" i="6"/>
  <c r="E436" i="16" s="1"/>
  <c r="E409" i="16"/>
  <c r="F17" i="6"/>
  <c r="E434" i="16" s="1"/>
  <c r="E407" i="16"/>
  <c r="H8" i="6"/>
  <c r="E337" i="16"/>
  <c r="E375" i="16"/>
  <c r="J18" i="6"/>
  <c r="E447" i="16" s="1"/>
  <c r="E20" i="7"/>
  <c r="D20" i="7"/>
  <c r="F18" i="6" l="1"/>
  <c r="E371" i="16"/>
  <c r="E444" i="16"/>
  <c r="D23" i="12"/>
  <c r="E23" i="12" s="1"/>
  <c r="F23" i="12" s="1"/>
  <c r="E314" i="16"/>
  <c r="D4" i="5"/>
  <c r="D23" i="5"/>
  <c r="D18" i="5"/>
  <c r="E324" i="16" s="1"/>
  <c r="D25" i="4"/>
  <c r="E194" i="16" s="1"/>
  <c r="E305" i="16"/>
  <c r="E17" i="5"/>
  <c r="F16" i="5"/>
  <c r="E441" i="16"/>
  <c r="E203" i="16"/>
  <c r="C8" i="5"/>
  <c r="E373" i="16"/>
  <c r="H18" i="6"/>
  <c r="E445" i="16" s="1"/>
  <c r="C20" i="6"/>
  <c r="E440" i="16"/>
  <c r="F20" i="7"/>
  <c r="B27" i="7"/>
  <c r="B30" i="7"/>
  <c r="B28" i="7"/>
  <c r="B29" i="7"/>
  <c r="E243" i="16" l="1"/>
  <c r="C19" i="5"/>
  <c r="C24" i="5"/>
  <c r="C25" i="5"/>
  <c r="D8" i="5"/>
  <c r="E204" i="16"/>
  <c r="E306" i="16"/>
  <c r="G16" i="5"/>
  <c r="F17" i="5"/>
  <c r="D19" i="6"/>
  <c r="E458" i="16"/>
  <c r="C22" i="6"/>
  <c r="E315" i="16"/>
  <c r="E23" i="5"/>
  <c r="E18" i="5"/>
  <c r="E325" i="16" s="1"/>
  <c r="E25" i="4"/>
  <c r="E195" i="16" s="1"/>
  <c r="E4" i="5"/>
  <c r="E443" i="16"/>
  <c r="B26" i="7"/>
  <c r="B24" i="7"/>
  <c r="B23" i="7"/>
  <c r="B25" i="7"/>
  <c r="E9" i="12"/>
  <c r="F9" i="12" s="1"/>
  <c r="E307" i="16" l="1"/>
  <c r="H16" i="5"/>
  <c r="D8" i="12"/>
  <c r="E8" i="12" s="1"/>
  <c r="F8" i="12" s="1"/>
  <c r="G17" i="5"/>
  <c r="D25" i="5"/>
  <c r="E244" i="16"/>
  <c r="D19" i="5"/>
  <c r="D24" i="5"/>
  <c r="E450" i="16"/>
  <c r="D20" i="6"/>
  <c r="E8" i="5"/>
  <c r="E205" i="16"/>
  <c r="E316" i="16"/>
  <c r="F4" i="5"/>
  <c r="F23" i="5"/>
  <c r="F25" i="4"/>
  <c r="E196" i="16" s="1"/>
  <c r="F18" i="5"/>
  <c r="E326" i="16" s="1"/>
  <c r="E206" i="16" l="1"/>
  <c r="F8" i="5"/>
  <c r="E317" i="16"/>
  <c r="C19" i="14"/>
  <c r="G4" i="5"/>
  <c r="G23" i="5"/>
  <c r="G25" i="4"/>
  <c r="C39" i="15"/>
  <c r="G18" i="5"/>
  <c r="E327" i="16" s="1"/>
  <c r="E25" i="5"/>
  <c r="E245" i="16"/>
  <c r="E24" i="5"/>
  <c r="E19" i="5"/>
  <c r="E308" i="16"/>
  <c r="H17" i="5"/>
  <c r="I16" i="5"/>
  <c r="E459" i="16"/>
  <c r="E19" i="6"/>
  <c r="D22" i="6"/>
  <c r="E309" i="16" l="1"/>
  <c r="J16" i="5"/>
  <c r="I17" i="5"/>
  <c r="C36" i="15"/>
  <c r="E197" i="16"/>
  <c r="E207" i="16"/>
  <c r="G8" i="5"/>
  <c r="C20" i="12"/>
  <c r="E318" i="16"/>
  <c r="H25" i="4"/>
  <c r="H4" i="5"/>
  <c r="D39" i="15"/>
  <c r="D19" i="14"/>
  <c r="H23" i="5"/>
  <c r="H18" i="5"/>
  <c r="E328" i="16" s="1"/>
  <c r="E246" i="16"/>
  <c r="F25" i="5"/>
  <c r="F24" i="5"/>
  <c r="F19" i="5"/>
  <c r="E20" i="6"/>
  <c r="E451" i="16"/>
  <c r="E247" i="16" l="1"/>
  <c r="G24" i="5"/>
  <c r="G19" i="5"/>
  <c r="G25" i="5"/>
  <c r="C16" i="14"/>
  <c r="E460" i="16"/>
  <c r="F19" i="6"/>
  <c r="E22" i="6"/>
  <c r="E319" i="16"/>
  <c r="I18" i="5"/>
  <c r="E329" i="16" s="1"/>
  <c r="I23" i="5"/>
  <c r="I4" i="5"/>
  <c r="I25" i="4"/>
  <c r="E199" i="16" s="1"/>
  <c r="E208" i="16"/>
  <c r="H8" i="5"/>
  <c r="D36" i="15"/>
  <c r="E198" i="16"/>
  <c r="E310" i="16"/>
  <c r="J17" i="5"/>
  <c r="K16" i="5"/>
  <c r="E452" i="16" l="1"/>
  <c r="F20" i="6"/>
  <c r="E209" i="16"/>
  <c r="I8" i="5"/>
  <c r="E320" i="16"/>
  <c r="J25" i="4"/>
  <c r="E200" i="16" s="1"/>
  <c r="J4" i="5"/>
  <c r="J23" i="5"/>
  <c r="J18" i="5"/>
  <c r="E330" i="16" s="1"/>
  <c r="E248" i="16"/>
  <c r="H25" i="5"/>
  <c r="D16" i="14"/>
  <c r="H19" i="5"/>
  <c r="H24" i="5"/>
  <c r="K17" i="5"/>
  <c r="E311" i="16"/>
  <c r="E321" i="16" l="1"/>
  <c r="E39" i="15"/>
  <c r="K18" i="5"/>
  <c r="E331" i="16" s="1"/>
  <c r="K23" i="5"/>
  <c r="E19" i="14"/>
  <c r="K4" i="5"/>
  <c r="K25" i="4"/>
  <c r="E210" i="16"/>
  <c r="J8" i="5"/>
  <c r="E249" i="16"/>
  <c r="I19" i="5"/>
  <c r="I24" i="5"/>
  <c r="I25" i="5"/>
  <c r="G19" i="6"/>
  <c r="E461" i="16"/>
  <c r="F22" i="6"/>
  <c r="G20" i="6" l="1"/>
  <c r="E453" i="16"/>
  <c r="E36" i="15"/>
  <c r="E201" i="16"/>
  <c r="E211" i="16"/>
  <c r="K8" i="5"/>
  <c r="D35" i="12" a="1"/>
  <c r="D35" i="12" s="1"/>
  <c r="E35" i="12" s="1"/>
  <c r="F35" i="12" s="1"/>
  <c r="E250" i="16"/>
  <c r="J19" i="5"/>
  <c r="J25" i="5"/>
  <c r="J24" i="5"/>
  <c r="E251" i="16" l="1"/>
  <c r="K24" i="5"/>
  <c r="K19" i="5"/>
  <c r="D33" i="12" s="1" a="1"/>
  <c r="D33" i="12" s="1"/>
  <c r="E33" i="12" s="1"/>
  <c r="F33" i="12" s="1"/>
  <c r="E16" i="14"/>
  <c r="K25" i="5"/>
  <c r="E462" i="16"/>
  <c r="H19" i="6"/>
  <c r="D20" i="12"/>
  <c r="E20" i="12" s="1"/>
  <c r="F20" i="12" s="1"/>
  <c r="D22" i="12"/>
  <c r="E22" i="12" s="1"/>
  <c r="F22" i="12" s="1"/>
  <c r="G22" i="6"/>
  <c r="H20" i="6" l="1"/>
  <c r="E454" i="16"/>
  <c r="E463" i="16" l="1"/>
  <c r="I19" i="6"/>
  <c r="H22" i="6"/>
  <c r="I20" i="6" l="1"/>
  <c r="E455" i="16"/>
  <c r="E464" i="16" l="1"/>
  <c r="J19" i="6"/>
  <c r="I22" i="6"/>
  <c r="J20" i="6" l="1"/>
  <c r="E456" i="16"/>
  <c r="E465" i="16" l="1"/>
  <c r="K19" i="6"/>
  <c r="J22" i="6"/>
  <c r="K20" i="6" l="1"/>
  <c r="E457" i="16"/>
  <c r="E466" i="16" l="1"/>
  <c r="K22" i="6"/>
  <c r="D34" i="12" s="1" a="1"/>
  <c r="D34" i="12" s="1"/>
  <c r="E34" i="12" s="1"/>
  <c r="F34" i="12" s="1"/>
  <c r="B26" i="12" l="1"/>
  <c r="B28" i="12"/>
  <c r="B30" i="12" s="1"/>
  <c r="B27" i="12"/>
  <c r="B2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Pallavi Sojan</author>
  </authors>
  <commentList>
    <comment ref="A1" authorId="0" shapeId="0" xr:uid="{D0935466-D382-844B-8878-A1D1D1AC0E90}">
      <text>
        <r>
          <rPr>
            <b/>
            <sz val="10"/>
            <color rgb="FF000000"/>
            <rFont val="Tahoma"/>
            <family val="2"/>
          </rPr>
          <t>Pallavi Sojan:</t>
        </r>
        <r>
          <rPr>
            <sz val="10"/>
            <color rgb="FF000000"/>
            <rFont val="Tahoma"/>
            <family val="2"/>
          </rPr>
          <t xml:space="preserve">
Historical columns (2019-2024) are a derived/illustrative series, not reported actuals. See note on the Loans row.</t>
        </r>
      </text>
    </comment>
    <comment ref="A5" authorId="0" shapeId="0" xr:uid="{E65099F9-F603-0740-84EA-8CDC7F847621}">
      <text>
        <r>
          <rPr>
            <b/>
            <sz val="10"/>
            <color rgb="FF000000"/>
            <rFont val="Tahoma"/>
            <family val="2"/>
          </rPr>
          <t>Pallavi Sojan: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DERIVED / ILLUSTRATIVE: 2019-2024 loan balances are back-solved from the FY2025 anchor (ASSUMPTIONS!B20 x1000) at the loan-growth rate, and all other lines are ratio-driven. These are not reported actuals. Cash is the balancing item (liquidity buffer); see MODEL_VALIDATION VAL-01..05 for genuine plausibility checks.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Pallavi Sojan</author>
  </authors>
  <commentList>
    <comment ref="B19" authorId="0" shapeId="0" xr:uid="{9FB07569-C340-3744-92EF-5A961AE45FB5}">
      <text>
        <r>
          <rPr>
            <b/>
            <sz val="10"/>
            <color rgb="FF000000"/>
            <rFont val="Tahoma"/>
            <family val="2"/>
          </rPr>
          <t>Pallavi Sojan: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Opening cash anchored to 2019 balance-sheet cash position (prior-year base).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2EC11-27DD-1148-8DCD-4D49F7B2D78E}" keepAlive="1" name="Query - Master_BoE_Dataset" description="Connection to the 'Master_BoE_Dataset' query in the workbook." type="5" refreshedVersion="8" background="1" saveData="1">
    <dbPr connection="Provider=Microsoft.Mashup.OleDb.1;Data Source=$Workbook$;Location=Master_BoE_Dataset;Extended Properties=&quot;&quot;" command="SELECT * FROM [Master_BoE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<sst xmlns="http://schemas.openxmlformats.org/spreadsheetml/2006/main" count="1883" uniqueCount="398">
  <si>
    <t>Date</t>
  </si>
  <si>
    <t>base_rate_pct</t>
  </si>
  <si>
    <t>consumer_credit_lending_gbm</t>
  </si>
  <si>
    <t>consumer_credit_rate</t>
  </si>
  <si>
    <t>fixed_mortgage_2y_75ltv</t>
  </si>
  <si>
    <t>fixed_mortgage_3y_75ltv</t>
  </si>
  <si>
    <t>fixed_mortgage_5y_75ltv</t>
  </si>
  <si>
    <t>fixed_mortgage_10y_75ltv</t>
  </si>
  <si>
    <t>fixed_mortgage_rate</t>
  </si>
  <si>
    <t>variable_mortgage_rate</t>
  </si>
  <si>
    <t>writeoffs_total_individuals_gbm</t>
  </si>
  <si>
    <t>writeoffs_mortgages_gbm</t>
  </si>
  <si>
    <t>writeoffs_creditcard_gbm</t>
  </si>
  <si>
    <t>writeoffs_other_individual_gbm</t>
  </si>
  <si>
    <t>Total_Interest_Receivable</t>
  </si>
  <si>
    <t>Total_Interest_Payable</t>
  </si>
  <si>
    <t>Net_Interest</t>
  </si>
  <si>
    <t>Fees_Income</t>
  </si>
  <si>
    <t>Fees_Expense</t>
  </si>
  <si>
    <t>Fees_Net</t>
  </si>
  <si>
    <t>=== LOAN WRITE-OFFS (Quarterly) ===</t>
  </si>
  <si>
    <t>=== MFI INCOME (Annual) ===</t>
  </si>
  <si>
    <t>INCOME ASSUMPTIONS</t>
  </si>
  <si>
    <t>Net Interest Margin (%)</t>
  </si>
  <si>
    <t>COST ASSUMPTIONS</t>
  </si>
  <si>
    <t>Cost-to-Income Ratio (%)</t>
  </si>
  <si>
    <t>2020A</t>
  </si>
  <si>
    <t>2021A</t>
  </si>
  <si>
    <t>2022A</t>
  </si>
  <si>
    <t>2023A</t>
  </si>
  <si>
    <t>2024A</t>
  </si>
  <si>
    <t>2025A</t>
  </si>
  <si>
    <t>CALEDONIA BANK PLC — MODEL INPUT ASSUMPTIONS</t>
  </si>
  <si>
    <t>INTEREST RATE</t>
  </si>
  <si>
    <t>Loan Growth Rate (%)</t>
  </si>
  <si>
    <t>Trading Income (% of NII)</t>
  </si>
  <si>
    <t>Staff Cost (% of Total Income)</t>
  </si>
  <si>
    <t>Technology Cost (% of Total Income)</t>
  </si>
  <si>
    <t>Regulatory Cost (% of Total Income)</t>
  </si>
  <si>
    <t>Other Operating Cost (% of Total Income)</t>
  </si>
  <si>
    <t>BALANCE SHEET</t>
  </si>
  <si>
    <t>Loan Book Base (£bn)</t>
  </si>
  <si>
    <t>CREDIT ASSUMPTIONS</t>
  </si>
  <si>
    <t>Provision Rate (% of loans)</t>
  </si>
  <si>
    <t>Column1</t>
  </si>
  <si>
    <t>Column2</t>
  </si>
  <si>
    <t>Column3</t>
  </si>
  <si>
    <t>CALEDONIA BANK PLC — P&amp;L MODEL (£millions)</t>
  </si>
  <si>
    <t>2026E</t>
  </si>
  <si>
    <t>2027E</t>
  </si>
  <si>
    <t>2028E</t>
  </si>
  <si>
    <t>2019A(Est.)</t>
  </si>
  <si>
    <t>INCOME</t>
  </si>
  <si>
    <t>Interest Income</t>
  </si>
  <si>
    <t>Interest Expense</t>
  </si>
  <si>
    <t>Net Interest Income (NII)</t>
  </si>
  <si>
    <t>Fee &amp; Commission Income</t>
  </si>
  <si>
    <t>Trading Income</t>
  </si>
  <si>
    <t>Total Non-Interest Income</t>
  </si>
  <si>
    <t>Total Operating Income</t>
  </si>
  <si>
    <t>COSTS</t>
  </si>
  <si>
    <t>Staff Costs</t>
  </si>
  <si>
    <t>Technology &amp; Infrastructure</t>
  </si>
  <si>
    <t>Regulatory &amp; Compliance</t>
  </si>
  <si>
    <t>Other Operating Costs</t>
  </si>
  <si>
    <t>Total Operating Expenses</t>
  </si>
  <si>
    <t>Pre-Provision Operating Profit</t>
  </si>
  <si>
    <t>Loan Loss Provisions</t>
  </si>
  <si>
    <t>Pre-Tax Profit</t>
  </si>
  <si>
    <t>Tax</t>
  </si>
  <si>
    <t>Net Profit After Tax</t>
  </si>
  <si>
    <t>KEY RATIOS</t>
  </si>
  <si>
    <t>Return on Equity (%)</t>
  </si>
  <si>
    <t>CALEDONIA BANK PLC — BALANCE SHEET (£millions)</t>
  </si>
  <si>
    <t xml:space="preserve"> 2019A (Est.)</t>
  </si>
  <si>
    <t xml:space="preserve"> 2020A</t>
  </si>
  <si>
    <t xml:space="preserve"> 2021A</t>
  </si>
  <si>
    <t xml:space="preserve"> 2022A</t>
  </si>
  <si>
    <t xml:space="preserve"> 2023A</t>
  </si>
  <si>
    <t xml:space="preserve"> 2024A</t>
  </si>
  <si>
    <t xml:space="preserve"> 2025A</t>
  </si>
  <si>
    <t xml:space="preserve"> 2026E</t>
  </si>
  <si>
    <t xml:space="preserve"> 2027E</t>
  </si>
  <si>
    <t xml:space="preserve"> 2028E</t>
  </si>
  <si>
    <t>ASSETS</t>
  </si>
  <si>
    <t>Cash &amp; Central Bank Reserves</t>
  </si>
  <si>
    <t>Loans &amp; Advances to Customers</t>
  </si>
  <si>
    <t>Investment Securities</t>
  </si>
  <si>
    <t>Other Assets</t>
  </si>
  <si>
    <t>TOTAL ASSETS</t>
  </si>
  <si>
    <t>LIABILITIES</t>
  </si>
  <si>
    <t>Customer Deposits</t>
  </si>
  <si>
    <t>Wholesale Funding</t>
  </si>
  <si>
    <t>Other Liabilities</t>
  </si>
  <si>
    <t>TOTAL LIABILITIES</t>
  </si>
  <si>
    <t>EQUITY</t>
  </si>
  <si>
    <t>Share Capital</t>
  </si>
  <si>
    <t>Retained Earnings</t>
  </si>
  <si>
    <t>TOTAL EQUITY</t>
  </si>
  <si>
    <t>TOTAL LIABILITIES &amp; EQUITY</t>
  </si>
  <si>
    <t>BALANCE CHECK</t>
  </si>
  <si>
    <t>Assets minus Liabilities &amp; Equity (must = 0)</t>
  </si>
  <si>
    <t>Loan-to-Deposit Ratio (%)</t>
  </si>
  <si>
    <t>Capital Adequacy Ratio (%)</t>
  </si>
  <si>
    <t>Return on Assets (%)</t>
  </si>
  <si>
    <t>Leverage Ratio (%)</t>
  </si>
  <si>
    <t>CALEDONIA BANK PLC — CASH FLOW STATEMENT (£millions)</t>
  </si>
  <si>
    <t xml:space="preserve">2019A (Est.) </t>
  </si>
  <si>
    <t xml:space="preserve"> 2020A </t>
  </si>
  <si>
    <t xml:space="preserve"> 2021A </t>
  </si>
  <si>
    <t xml:space="preserve"> 2022A </t>
  </si>
  <si>
    <t xml:space="preserve"> 2023A </t>
  </si>
  <si>
    <t xml:space="preserve"> 2024A </t>
  </si>
  <si>
    <t xml:space="preserve"> 2025A </t>
  </si>
  <si>
    <t xml:space="preserve"> 2026E </t>
  </si>
  <si>
    <t xml:space="preserve"> 2027E </t>
  </si>
  <si>
    <t>OPERATING ACTIVITIES</t>
  </si>
  <si>
    <t>Change in Customer Deposits</t>
  </si>
  <si>
    <t>Change in Other Liabilities</t>
  </si>
  <si>
    <t>Change in Other Assets</t>
  </si>
  <si>
    <t>NET CASH FROM OPERATING ACTIVITIES</t>
  </si>
  <si>
    <t>INVESTING ACTIVITIES</t>
  </si>
  <si>
    <t>Change in Loan Book</t>
  </si>
  <si>
    <t>Change in Investment Securities</t>
  </si>
  <si>
    <t>NET CASH FROM INVESTING ACTIVITIES</t>
  </si>
  <si>
    <t>FINANCING ACTIVITIES</t>
  </si>
  <si>
    <t>Dividends Paid</t>
  </si>
  <si>
    <t>Change in Wholesale Funding</t>
  </si>
  <si>
    <t>Change in Share Capital</t>
  </si>
  <si>
    <t>NET CASH FROM FINANCING ACTIVITIES</t>
  </si>
  <si>
    <t>NET CHANGE IN CASH</t>
  </si>
  <si>
    <t>Opening Cash Balance</t>
  </si>
  <si>
    <t>CLOSING CASH BALANCE</t>
  </si>
  <si>
    <t>Closing Cash = Balance Sheet Cash (must = 0)</t>
  </si>
  <si>
    <t>N/A</t>
  </si>
  <si>
    <t>P&amp;L LINE ITEM</t>
  </si>
  <si>
    <t>VARIANCE SUMMARY</t>
  </si>
  <si>
    <t>Total lines reviewed</t>
  </si>
  <si>
    <t>Lines meeting budget (OK)</t>
  </si>
  <si>
    <t>Adverse variances</t>
  </si>
  <si>
    <t>Favourable variances</t>
  </si>
  <si>
    <t>Net Profit variance %</t>
  </si>
  <si>
    <t>Largest adverse variance (£m)</t>
  </si>
  <si>
    <t>Largest favourable variance (£m)</t>
  </si>
  <si>
    <t>Most significant line</t>
  </si>
  <si>
    <t>BASE</t>
  </si>
  <si>
    <t>BULL</t>
  </si>
  <si>
    <t>BEAR</t>
  </si>
  <si>
    <t>SEVERE STRESS</t>
  </si>
  <si>
    <t>Net Interest Income FY2024</t>
  </si>
  <si>
    <t>CALEDONIA BANK PLC — MODEL VALIDATION &amp; HEALTH CHECK</t>
  </si>
  <si>
    <t>PURPOSE: This sheet confirms the integrity of the 3-statement model. All checks must return PASS before the model is used for reporting or decision making.</t>
  </si>
  <si>
    <t>MODEL HEALTH CHECKS</t>
  </si>
  <si>
    <t>CHECK ID</t>
  </si>
  <si>
    <t>CHECK DESCRIPTION</t>
  </si>
  <si>
    <t>EXPECTED</t>
  </si>
  <si>
    <t>ACTUAL</t>
  </si>
  <si>
    <t>VARIANCE</t>
  </si>
  <si>
    <t>STATUS</t>
  </si>
  <si>
    <t>BS-01</t>
  </si>
  <si>
    <t>BS-02</t>
  </si>
  <si>
    <t>BS-03</t>
  </si>
  <si>
    <t>BS-04</t>
  </si>
  <si>
    <t>Balance Sheet balances — Assets = Liabilities + Equity</t>
  </si>
  <si>
    <t>Loan book growth matches Loan Growth Rate assumption</t>
  </si>
  <si>
    <t>Profit Retention Rate (%)</t>
  </si>
  <si>
    <t>Retained Earnings movement ties to retained profit (Net Profit × Retention Rate)</t>
  </si>
  <si>
    <t>P&amp;L CHECKS</t>
  </si>
  <si>
    <t>PL-01</t>
  </si>
  <si>
    <t>PL-02</t>
  </si>
  <si>
    <t>PL-03</t>
  </si>
  <si>
    <t>PL-04</t>
  </si>
  <si>
    <t>PL-05</t>
  </si>
  <si>
    <t>Total Operating Income = NII + Non-Interest Income</t>
  </si>
  <si>
    <t>Total OpEx = Sum of all cost lines</t>
  </si>
  <si>
    <t>Pre-Tax Profit = Pre-Provision Profit minus Provisions</t>
  </si>
  <si>
    <t>Net Profit = Pre-Tax Profit minus Tax</t>
  </si>
  <si>
    <t>Tax = Pre-Tax Profit x Tax Rate</t>
  </si>
  <si>
    <t>CASH FLOW CHECKS</t>
  </si>
  <si>
    <t>CF-01</t>
  </si>
  <si>
    <t>CF-02</t>
  </si>
  <si>
    <t>CF-03</t>
  </si>
  <si>
    <t>CF-04</t>
  </si>
  <si>
    <t>Closing Cash ties to Balance Sheet cash balance</t>
  </si>
  <si>
    <t>Operating Cash Flow includes Net Profit</t>
  </si>
  <si>
    <t>Closing Cash = Opening Cash + Net Change in Cash</t>
  </si>
  <si>
    <t>Net Change in Cash = Operating + Investing + Financing</t>
  </si>
  <si>
    <t>VALIDATION SUMMARY</t>
  </si>
  <si>
    <t>Total Checks</t>
  </si>
  <si>
    <t>Checks Passing</t>
  </si>
  <si>
    <t>Checks Failing</t>
  </si>
  <si>
    <t>Pass Rate</t>
  </si>
  <si>
    <t>Model Status</t>
  </si>
  <si>
    <t>Last Validated</t>
  </si>
  <si>
    <t>CALEDONIA BANK PLC — FINANCIAL PERFORMANCE CHARTS</t>
  </si>
  <si>
    <t>CHART 1 — NET INTEREST INCOME TREND</t>
  </si>
  <si>
    <t>Year</t>
  </si>
  <si>
    <t>NII (£m)</t>
  </si>
  <si>
    <t>CHART 2 — TOTAL INCOME VS TOTAL OPERATING EXPENSES</t>
  </si>
  <si>
    <t>Total Income (£m)</t>
  </si>
  <si>
    <t>Total OpEx (£m)</t>
  </si>
  <si>
    <t>CHART 3 — NET PROFIT &amp; NIM % TREND</t>
  </si>
  <si>
    <t>Net Profit (£m)</t>
  </si>
  <si>
    <t>NIM %</t>
  </si>
  <si>
    <t>CHART 4 — P&amp;L BRIDGE FY2024</t>
  </si>
  <si>
    <t>Item</t>
  </si>
  <si>
    <t>Amount (£m)</t>
  </si>
  <si>
    <t>Net Interest Income</t>
  </si>
  <si>
    <t>CHART 5 — SCENARIO COMPARISON — NET PROFIT AFTER TAX</t>
  </si>
  <si>
    <t>Scenario</t>
  </si>
  <si>
    <t>CALEDONIA BANK PLC — FP&amp;A MODEL: MANAGEMENT SUMMARY</t>
  </si>
  <si>
    <t>Independent review of the integrated 3-statement model &amp; supporting analysis | Prepared 24 Jun 2026</t>
  </si>
  <si>
    <t>1.  OVERVIEW</t>
  </si>
  <si>
    <t>A fully integrated 3-statement model (P&amp;L, Balance Sheet, Cash Flow) for a mid-tier UK retail bank, covering FY2019A–FY2028E. The model is driven from Bank of England source data and is supported by assumptions, budget-vs-actual, scenario, validation and charts tabs — 9 sheets in total.</t>
  </si>
  <si>
    <t>2.  KEY RESULTS (live links to model, £m)</t>
  </si>
  <si>
    <t>Metric</t>
  </si>
  <si>
    <t>FY2024A</t>
  </si>
  <si>
    <t>FY2025A</t>
  </si>
  <si>
    <t>FY2028E</t>
  </si>
  <si>
    <t>Total Assets</t>
  </si>
  <si>
    <t>Customer Loans</t>
  </si>
  <si>
    <t>Total Equity</t>
  </si>
  <si>
    <t>3.  SCENARIO RANGE — FY2024 Net Profit (£m)</t>
  </si>
  <si>
    <t>Net Profit</t>
  </si>
  <si>
    <t>vs Base</t>
  </si>
  <si>
    <t>Bull</t>
  </si>
  <si>
    <t>Base</t>
  </si>
  <si>
    <t>—</t>
  </si>
  <si>
    <t>Bear</t>
  </si>
  <si>
    <t>Severe Stress</t>
  </si>
  <si>
    <t>4.  WHAT WORKS WELL</t>
  </si>
  <si>
    <t>✓  Genuine 3-statement integration — P&amp;L flows to retained earnings on the Balance Sheet, and the Cash Flow reconciles to BS cash. Balance check = 0 in every year.</t>
  </si>
  <si>
    <t>✓  Real source data — interest income/expense, fee income and loan write-offs are pulled from Bank of England datasets in RAW_DATA rather than typed in.</t>
  </si>
  <si>
    <t>✓  Good supporting analysis — dedicated validation/health-check tab, scenario analysis (Bull/Bear/Stress), budget-vs-actual with conditional flags, and a charts data tab.</t>
  </si>
  <si>
    <t>✓  Clean, consistent presentation — uniform headers, number formats, borders and a clear assumptions block with documented rationale.</t>
  </si>
  <si>
    <t>Issue</t>
  </si>
  <si>
    <t>Location</t>
  </si>
  <si>
    <t>Severity</t>
  </si>
  <si>
    <t>PL_MODEL B25:K25</t>
  </si>
  <si>
    <t>HIGH</t>
  </si>
  <si>
    <t>PL_MODEL B23:K23</t>
  </si>
  <si>
    <t>PL_MODEL row 24</t>
  </si>
  <si>
    <t>PL_MODEL row 20</t>
  </si>
  <si>
    <t>MEDIUM</t>
  </si>
  <si>
    <t>PL_MODEL I18:K18</t>
  </si>
  <si>
    <t>MODEL_VALIDATION B26:B30</t>
  </si>
  <si>
    <t>BUDGET VS ACTUAL B3</t>
  </si>
  <si>
    <t>CHARTS C42</t>
  </si>
  <si>
    <t>LOW</t>
  </si>
  <si>
    <t>SCENARIO_ANALYSIS</t>
  </si>
  <si>
    <t>Multiple</t>
  </si>
  <si>
    <t>6.  DEEP-PASS FINDINGS (line-by-line recomputation)</t>
  </si>
  <si>
    <t>✓  INTEGRATION VERIFIED: Balance Sheet balances and Cash Flow closing cash ties to Balance Sheet cash to rounding (&lt;£0.01) in all 10 years; every P&amp;L arithmetic identity recomputes exactly. The model's wiring is genuinely sound — the issues below are about inputs and basis, not broken formulas.</t>
  </si>
  <si>
    <t>Finding</t>
  </si>
  <si>
    <t>BALANCE_SHEET row 5</t>
  </si>
  <si>
    <t>BALANCE_SHEET row 12</t>
  </si>
  <si>
    <t>PL_MODEL I18</t>
  </si>
  <si>
    <t>PL_MODEL row 25</t>
  </si>
  <si>
    <t>PL_MODEL I7</t>
  </si>
  <si>
    <t>ASSUMPTIONS B4, B7</t>
  </si>
  <si>
    <t>CASH_FLOW row 14</t>
  </si>
  <si>
    <t>MODEL_VALIDATION</t>
  </si>
  <si>
    <t>Tax Rate — FY2023+ (%)</t>
  </si>
  <si>
    <t>Tax Rate — Pre-FY2023 (%)</t>
  </si>
  <si>
    <t>Provision Charge (% of Pre-Prov Profit)</t>
  </si>
  <si>
    <t>Status</t>
  </si>
  <si>
    <t>✓ FIXED</t>
  </si>
  <si>
    <t>Base Rate — forecast/terminal (%)</t>
  </si>
  <si>
    <t>Loan Spread over Base Rate (%)</t>
  </si>
  <si>
    <t>Deposit Beta (% of base rate)</t>
  </si>
  <si>
    <t>Cost Inflation (%)</t>
  </si>
  <si>
    <t>Fee Income (% of Total Assets)</t>
  </si>
  <si>
    <t>Wholesale Funding (% of Deposits)</t>
  </si>
  <si>
    <t>Other Liabilities (% of Loans)</t>
  </si>
  <si>
    <t>Deposits (% of Loans, 2019 base)</t>
  </si>
  <si>
    <t>BoE RATE ENGINE (annual averages from RAW_DATA)</t>
  </si>
  <si>
    <t>BoE Avg Base Rate (%)</t>
  </si>
  <si>
    <t>Loan Yield (%)</t>
  </si>
  <si>
    <t>Funding Cost (%)</t>
  </si>
  <si>
    <t>Deposit growth tracks loan growth (deposits anchored to loans)</t>
  </si>
  <si>
    <t>ALL-YEAR &amp; PLAUSIBILITY CHECKS (2019–2028)</t>
  </si>
  <si>
    <t>VAL-01</t>
  </si>
  <si>
    <t>Balance Sheet balances in EVERY year (not just 2024)</t>
  </si>
  <si>
    <t>VAL-02</t>
  </si>
  <si>
    <t>Cash Flow ties to BS cash in EVERY year</t>
  </si>
  <si>
    <t>VAL-03</t>
  </si>
  <si>
    <t>Cash / Assets within plausible 2%–25% in all years</t>
  </si>
  <si>
    <t>VAL-04</t>
  </si>
  <si>
    <t>Loan-to-Deposit Ratio within 80%–130% in all years</t>
  </si>
  <si>
    <t>VAL-05</t>
  </si>
  <si>
    <t>Net Interest Margin within plausible 0.5%–5% in all years</t>
  </si>
  <si>
    <t>CALEDONIA BANK PLC — YEAR-ON-YEAR P&amp;L ANALYSIS (£millions)</t>
  </si>
  <si>
    <t>FY2024 Actual vs FY2023 Actual | Source: PL_MODEL | (Note: prior-year actuals, not a formal budget)</t>
  </si>
  <si>
    <t>FY2023 ACTUAL</t>
  </si>
  <si>
    <t>FY2024 ACTUAL</t>
  </si>
  <si>
    <t>CHANGE (£m)</t>
  </si>
  <si>
    <t>YoY %</t>
  </si>
  <si>
    <t>DIRECTION</t>
  </si>
  <si>
    <t>Regen</t>
  </si>
  <si>
    <t>Scenario tab is stale post-rebuild (built on the old model). Base case shown live (£2,292m FY2024); Bull/Bear/Stress need regenerating via Scenario Manager.</t>
  </si>
  <si>
    <t>SENSITIVITY — FY2028E Net Profit (£m): Loan Spread (rows) vs Deposit Beta (cols)</t>
  </si>
  <si>
    <t>Spread ↓ / Beta →</t>
  </si>
  <si>
    <t>Caledonia Bank PLC — Integrated 3-Statement FP&amp;A Model</t>
  </si>
  <si>
    <t>Author: Pallavi Sojan   |   Built in Microsoft Excel   |   Data: Bank of England open data</t>
  </si>
  <si>
    <t>Integrated model (Income Statement · Balance Sheet · Cash Flow) for a fictional mid-tier UK retail bank, 2019A–2028E</t>
  </si>
  <si>
    <t>OVERVIEW</t>
  </si>
  <si>
    <t>I built this model to demonstrate end-to-end FP&amp;A capability: sourcing real market data, designing a driver-based forecast, fully integrating the three financial statements, and stress-testing the output. Caledonia Bank PLC is fictional, but every economic input is grounded in published Bank of England data, and the model is engineered so a single change to any assumption flows correctly through all three statements, the validation suite, and a live sensitivity grid.</t>
  </si>
  <si>
    <t>The headline design principle is traceability: every output is a formula a reviewer can click through to its source, every business assumption lives in one labelled input cell, and the model self-validates against 18 integrity and plausibility checks.</t>
  </si>
  <si>
    <t>WHAT THE MODEL DOES</t>
  </si>
  <si>
    <t>•  Projects a complete Income Statement, Balance Sheet and Cash Flow over a 10-year horizon (six years actual-basis, four years forecast).</t>
  </si>
  <si>
    <t>•  Derives net interest income from real BoE interest-rate data rather than hard-coded margins.</t>
  </si>
  <si>
    <t>•  Produces a full suite of banking KPIs — NIM, cost-to-income, ROE, ROA, loan-to-deposit ratio, leverage and capital ratios.</t>
  </si>
  <si>
    <t>•  Includes year-on-year analysis, a scenario framework, an automated validation engine, and a live two-way sensitivity table.</t>
  </si>
  <si>
    <t>ARCHITECTURE (9 TABS)</t>
  </si>
  <si>
    <t>RAW_DATA — Source Bank of England datasets (base rate, mortgage &amp; consumer-credit rates, write-offs, MFI income).</t>
  </si>
  <si>
    <t>ASSUMPTIONS — All driver inputs in one place, plus the sensitivity table.</t>
  </si>
  <si>
    <t>PL_MODEL — Income statement and the BoE rate engine.</t>
  </si>
  <si>
    <t>BALANCE_SHEET — Driver-based balance sheet with a liquidity-buffer mechanism.</t>
  </si>
  <si>
    <t>CASH_FLOW — Indirect cash flow, reconciled to the balance sheet.</t>
  </si>
  <si>
    <t>BUDGET VS ACTUAL — Year-on-year P&amp;L movement analysis.</t>
  </si>
  <si>
    <t>SCENARIO_ANALYSIS — Bull / Bear / Severe-stress framework.</t>
  </si>
  <si>
    <t>MODEL_VALIDATION — 18 automated integrity &amp; plausibility checks.</t>
  </si>
  <si>
    <t>CHARTS — Visual outputs.</t>
  </si>
  <si>
    <t>METHODOLOGY</t>
  </si>
  <si>
    <t>Income engine — driven by real BoE rates. Rather than apply a flat assumed margin, I derive interest income and expense from the annual average BoE base rate (computed from the monthly series in RAW_DATA): interest income = (loans + securities) × (base rate + loan spread); interest expense = (deposits + wholesale) × (base rate × deposit beta). This makes net interest margin an emergent output rather than an input — it widens through the 2022–24 rate-hiking cycle and normalises as rates ease, exactly as real bank margins behaved (NIM 1.5%–3.2%).</t>
  </si>
  <si>
    <t>Balance sheet — genuine articulation. Loans are anchored at the FY2025 level (~£150bn) and grown by an explicit rate; deposits track the loan book; wholesale funding and other liabilities are ratio-driven. Cash is modelled as the liquidity buffer that balances funding against assets, so the balance sheet closes through real economics rather than a hidden plug.</t>
  </si>
  <si>
    <t>Cost, fee and provision drivers. Operating costs grow from a base-year level by a cost-inflation assumption — so cost-to-income is a true output (32%–67% across the cycle) rather than a fixed ratio. Provisions are charged as a percentage of loans, and fee income as a percentage of earning assets, applied consistently across history and forecast.</t>
  </si>
  <si>
    <t>KEY RESULTS (live links to model)</t>
  </si>
  <si>
    <t>Net profit (£m)</t>
  </si>
  <si>
    <t>Net interest margin (%)</t>
  </si>
  <si>
    <t>Return on equity (%)</t>
  </si>
  <si>
    <t>Cost-to-income (%)</t>
  </si>
  <si>
    <t>Customer loans (£m)</t>
  </si>
  <si>
    <t>Total equity (£m)</t>
  </si>
  <si>
    <t>VALIDATION &amp; INTEGRITY</t>
  </si>
  <si>
    <t>The model is self-auditing. The MODEL_VALIDATION tab runs 18 checks, all passing: (1) Integration — the balance sheet balances in every year, and cash-flow closing cash reconciles to balance-sheet cash to rounding across all 10 years. (2) Logic — statement identities reconcile exactly. (3) Plausibility — cash ratio, loan-to-deposit ratio and NIM are each tested against sane bounds in every year, so the suite flags rather than hides any unrealistic assumption.</t>
  </si>
  <si>
    <t>SENSITIVITY ANALYSIS</t>
  </si>
  <si>
    <t>A live two-way sensitivity grid (on ASSUMPTIONS) shows FY2028E net profit against loan spread and deposit beta — the two largest margin drivers. Net profit ranges from ~£1.2bn (thin spread, high deposit pass-through) to ~£2.9bn (wide spread, low pass-through), with the base case at ~£2,058m. The grid recomputes automatically with any change to the model.</t>
  </si>
  <si>
    <t>DESIGN CHOICES &amp; LIMITATIONS</t>
  </si>
  <si>
    <t>•  Synthetic history: the 2019–2024 balances are a derived, illustrative series back-solved from the FY2025 anchor — clearly labelled, not presented as reported actuals.</t>
  </si>
  <si>
    <t>•  BoE data as rates, not totals: I use BoE rates applied to the bank's own balances, the economically correct way to scale system-wide data down to a single institution.</t>
  </si>
  <si>
    <t>•  Scenario tab is a static framework; the live base case is shown alongside, with Bull/Bear/Stress regenerated via Excel's Scenario Manager.</t>
  </si>
  <si>
    <t>SKILLS DEMONSTRATED</t>
  </si>
  <si>
    <t>Financial-statement integration · driver-based forecasting · open-data sourcing &amp; transformation · banking KPI design · scenario &amp; sensitivity analysis · model validation and controls · clean, auditable spreadsheet engineering.</t>
  </si>
  <si>
    <t>INTEREST &amp; FORECAST DRIVERS</t>
  </si>
  <si>
    <t>5.  ISSUES RAISED IN REVIEW — RESOLUTION STATUS (original finding → current state)</t>
  </si>
  <si>
    <t>1. ROE originally used a fixed £45,000m equity base, inflating to ~73% by FY2028. RESOLVED: ROE = Net Profit ÷ Total Equity (BALANCE_SHEET row 17); live ROE is a stable 4%–19% (PL_MODEL row 25).</t>
  </si>
  <si>
    <t>2. Cost-to-Income was previously a fixed 60.0% every year (all cost lines a fixed % of income). RESOLVED: costs now grow from a base year by the cost-inflation assumption, so cost-income is a true output — 35%–66% across the cycle (PL_MODEL row 23).</t>
  </si>
  <si>
    <t>3. NIM previously read 9.6%–17.4% (BoE economy-wide flows scaled as one bank, divided by loans). RESOLVED: NIM is derived from rates on the bank's own earning assets; live NIM is a realistic 1.5%–3.2% (PL_MODEL row 24).</t>
  </si>
  <si>
    <t>4. Tax was previously hardcoded and inconsistent across years. RESOLVED: tax now references assumption cells (historical rate ASSUMPTIONS!B15, forecast rate B14) — no rates embedded in formulas, fully auditable (PL_MODEL row 20).</t>
  </si>
  <si>
    <t>5. Provision basis previously differed between history (write-offs) and forecast (% of income). RESOLVED: provisions are now a consistent % of loans in every year (=Loans × ASSUMPTIONS!B20), matching the label (PL_MODEL row 18).</t>
  </si>
  <si>
    <t>6. Validation summary previously miscounted (counted header cells; reported 13/15 yet 'ALL PASS'). RESOLVED: COUNT ranges fixed; the summary now reports 18 / 18 checks passing (MODEL_VALIDATION B26:B28).</t>
  </si>
  <si>
    <t>7. 'Budget vs Actual' previously compared prior-year actuals labelled as a budget. RESOLVED: tab retitled 'Year-on-Year P&amp;L Analysis' with an explicit note that it is FY2024 vs FY2023 actuals, not a formal budget.</t>
  </si>
  <si>
    <t>8. Charts NIM series previously skipped FY2021 (repeated the FY2020 value). RESOLVED: the series now references each year correctly, FY2019–FY2024 (CHARTS C40:C45).</t>
  </si>
  <si>
    <t>10. Minor (base year): FY2019 is the seed year — costs/fees are set as a % of income before the inflation &amp; ratio drivers take over from FY2020, and opening retained earnings equal full FY2019 profit. FY2019 P&amp;L is formula-driven via the rate engine. Cosmetic seed-year effects only; no impact on forecast logic.</t>
  </si>
  <si>
    <t>Minor</t>
  </si>
  <si>
    <t>A. BY DESIGN (labelled): the 2019–2024 balance sheet is a derived, illustrative series back-solved from the FY2025 anchor (loans £150,000m = ASSUMPTIONS!B17×1000) at the loan-growth rate, with other lines ratio-driven. Flagged in the BALANCE_SHEET note and PROJECT_SUMMARY as not reported actuals — a deliberate limitation, not an error.</t>
  </si>
  <si>
    <t>B. RESOLVED: the balancing item is now Cash &amp; Central Bank Reserves, modelled as an explicit liquidity buffer (assets close against funding), not a hidden 'Other Liabilities' plug. Cash/Assets stays within a plausible ~10%–13%, and genuine integrity is tested by all-year plausibility checks (MODEL_VALIDATION VAL-01..05) rather than the tautological balance check.</t>
  </si>
  <si>
    <t>C. RESOLVED: provisions are now a consistent % of loans across history and forecast (PL_MODEL row 18), so the ~83% drop at the old forecast boundary is gone.</t>
  </si>
  <si>
    <t>D. RESOLVED: ROE now divides by actual Total Equity in every year (BALANCE_SHEET row 17); the false upward trend from the fixed £45,000m denominator is removed. Live ROE 4%–19%.</t>
  </si>
  <si>
    <t>E. RESOLVED: fee income is a consistent % of earning assets in all years (=(Loans+Securities)×ASSUMPTIONS!B26), so the discontinuity at the forecast boundary is gone (PL_MODEL row 7).</t>
  </si>
  <si>
    <t>F. RESOLVED: the BoE rate engine is wired into interest income/expense (PL_MODEL rows 4–5 via rate rows 30–31), and NIM is now a computed output (row 24) rather than an unused input. No orphaned margin assumption driving the P&amp;L.</t>
  </si>
  <si>
    <t>G. RESOLVED: dividends paid = Net Profit × (1 − retention rate) (CASH_FLOW row 14 = −PL_MODEL profit × (1−ASSUMPTIONS!B18)), so the cash-flow-to-balance-sheet tie holds even if the retention assumption changes. No hardcoded 0.4.</t>
  </si>
  <si>
    <t>H. RESOLVED: validation now includes all-year checks across 2019–2028 — balance and cash-flow ties tested in every year, plus plausibility bounds on cash/assets, loan-to-deposit and NIM (MODEL_VALIDATION VAL-01..05), alongside the single-year identity checks.</t>
  </si>
  <si>
    <t>By design</t>
  </si>
  <si>
    <t>Statement</t>
  </si>
  <si>
    <t>Line Item</t>
  </si>
  <si>
    <t>Unit</t>
  </si>
  <si>
    <t>Value</t>
  </si>
  <si>
    <t>Income Statement</t>
  </si>
  <si>
    <t>£m</t>
  </si>
  <si>
    <t>Cost-to-Income Ratio</t>
  </si>
  <si>
    <t>%</t>
  </si>
  <si>
    <t>Net Interest Margin</t>
  </si>
  <si>
    <t>Return on Equity</t>
  </si>
  <si>
    <t>Balance Sheet</t>
  </si>
  <si>
    <t>Total Liabilities</t>
  </si>
  <si>
    <t>Total Liabilities &amp; Equity</t>
  </si>
  <si>
    <t>Cash Flow</t>
  </si>
  <si>
    <t>Net Cash from Operating Activities</t>
  </si>
  <si>
    <t>Net Cash from Investing Activities</t>
  </si>
  <si>
    <t>Net Cash from Financing Activities</t>
  </si>
  <si>
    <t>Net Change in Cash</t>
  </si>
  <si>
    <t>Opening Cash</t>
  </si>
  <si>
    <t>Closing Cash</t>
  </si>
  <si>
    <t>SCENARIO ANALYSIS — FY2028E NET PROFIT (live)</t>
  </si>
  <si>
    <t>Margin scenarios driven by the two dominant earnings levers — loan spread over base rate and deposit beta. Net profit links live to the sensitivity engine on ASSUMPTIONS (grid A30:H38); the Base case ties to PL_MODEL FY2028E. Change the grid assumptions and these refresh automatically.</t>
  </si>
  <si>
    <t>Driver / Output</t>
  </si>
  <si>
    <t>Loan spread over base rate</t>
  </si>
  <si>
    <t>Deposit beta (% of base rate)</t>
  </si>
  <si>
    <t>FY2028E Net Profit after tax (£m)</t>
  </si>
  <si>
    <t>Δ vs Base (£m)</t>
  </si>
  <si>
    <t>Δ vs Base (%)</t>
  </si>
  <si>
    <t>Tie-out — live FY2028E net profit (PL_MODEL!K21):</t>
  </si>
  <si>
    <t>Base − model (should be 0):</t>
  </si>
  <si>
    <t>9. RESOLVED: SCENARIO_ANALYSIS has been rebuilt with live formulas linking to the sensitivity engine (FY2028E net profit — Base £2,058m, Bull £2,634m, Bear £1,712m, Severe Stress £1,193m); the Base case ties to PL_MODEL!K21. CHARTS Chart 5 now reads these live figures, replacing the stale ~£19bn paste.</t>
  </si>
  <si>
    <t>Verdict: A well-structured, professionally formatted model with genuine statement integration. The metric and forecast-driver issues raised in the original review have been addressed (see Sections 5–6), including a rebuild of the scenario tab with live links. On its labelled illustrative basis the model is internally sound and consistent. A flat BI_DATA extract tab is provided for Power BI / Tableau.</t>
  </si>
  <si>
    <t>Data source: PL_MODEL sheet | FY2019A–FY2028E | All figures £millions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</si>
</sst>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"/>
    <numFmt numFmtId="166" formatCode="\+0.0%;\-0.0%"/>
    <numFmt numFmtId="167" formatCode="0.0"/>
    <numFmt numFmtId="168" formatCode="#,##0.0"/>
    <numFmt numFmtId="169" formatCode="#,##0;\(#,##0\);\-"/>
    <numFmt numFmtId="170" formatCode="\+0.0%;\(0.0%\);\-"/>
    <numFmt numFmtId="171" formatCode="0.00;\(0.00\);\-"/>
  </numFmts>
  <fonts count="44" x14ac:knownFonts="1"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i/>
      <sz val="12"/>
      <color theme="2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3"/>
      <color rgb="FFBF8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9C6500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203764"/>
      <name val="Calibri"/>
      <family val="2"/>
      <scheme val="minor"/>
    </font>
    <font>
      <sz val="12"/>
      <color rgb="FF59595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2"/>
      <color rgb="FF59595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0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4" fillId="0" borderId="0" xfId="0" applyFont="1"/>
    <xf numFmtId="3" fontId="7" fillId="0" borderId="1" xfId="0" applyNumberFormat="1" applyFont="1" applyBorder="1" applyAlignment="1">
      <alignment horizontal="center"/>
    </xf>
    <xf numFmtId="0" fontId="7" fillId="0" borderId="7" xfId="0" applyFont="1" applyBorder="1"/>
    <xf numFmtId="0" fontId="8" fillId="3" borderId="7" xfId="0" applyFont="1" applyFill="1" applyBorder="1"/>
    <xf numFmtId="3" fontId="7" fillId="0" borderId="8" xfId="0" applyNumberFormat="1" applyFont="1" applyBorder="1" applyAlignment="1">
      <alignment horizontal="center"/>
    </xf>
    <xf numFmtId="0" fontId="8" fillId="3" borderId="9" xfId="0" applyFont="1" applyFill="1" applyBorder="1"/>
    <xf numFmtId="0" fontId="10" fillId="0" borderId="12" xfId="0" applyFont="1" applyBorder="1"/>
    <xf numFmtId="0" fontId="7" fillId="0" borderId="9" xfId="0" applyFont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0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5" fillId="2" borderId="9" xfId="0" applyFont="1" applyFill="1" applyBorder="1"/>
    <xf numFmtId="3" fontId="1" fillId="2" borderId="10" xfId="0" applyNumberFormat="1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3" fontId="7" fillId="4" borderId="8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3" fontId="7" fillId="4" borderId="10" xfId="0" applyNumberFormat="1" applyFont="1" applyFill="1" applyBorder="1" applyAlignment="1">
      <alignment horizontal="center"/>
    </xf>
    <xf numFmtId="3" fontId="7" fillId="4" borderId="1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2" fontId="7" fillId="4" borderId="8" xfId="0" applyNumberFormat="1" applyFont="1" applyFill="1" applyBorder="1" applyAlignment="1">
      <alignment horizontal="center"/>
    </xf>
    <xf numFmtId="2" fontId="7" fillId="4" borderId="10" xfId="0" applyNumberFormat="1" applyFont="1" applyFill="1" applyBorder="1" applyAlignment="1">
      <alignment horizontal="center"/>
    </xf>
    <xf numFmtId="2" fontId="7" fillId="4" borderId="11" xfId="0" applyNumberFormat="1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8" fillId="4" borderId="7" xfId="0" applyFont="1" applyFill="1" applyBorder="1"/>
    <xf numFmtId="1" fontId="7" fillId="4" borderId="8" xfId="0" applyNumberFormat="1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1" fontId="1" fillId="2" borderId="11" xfId="0" applyNumberFormat="1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10" fillId="4" borderId="4" xfId="0" applyFont="1" applyFill="1" applyBorder="1"/>
    <xf numFmtId="1" fontId="7" fillId="4" borderId="5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0" fontId="8" fillId="4" borderId="9" xfId="0" applyFont="1" applyFill="1" applyBorder="1"/>
    <xf numFmtId="3" fontId="5" fillId="2" borderId="10" xfId="0" applyNumberFormat="1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1" fontId="5" fillId="2" borderId="10" xfId="0" applyNumberFormat="1" applyFont="1" applyFill="1" applyBorder="1" applyAlignment="1">
      <alignment horizontal="center"/>
    </xf>
    <xf numFmtId="1" fontId="5" fillId="2" borderId="11" xfId="0" applyNumberFormat="1" applyFont="1" applyFill="1" applyBorder="1" applyAlignment="1">
      <alignment horizontal="center"/>
    </xf>
    <xf numFmtId="0" fontId="5" fillId="2" borderId="4" xfId="0" applyFont="1" applyFill="1" applyBorder="1"/>
    <xf numFmtId="3" fontId="5" fillId="2" borderId="5" xfId="0" applyNumberFormat="1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0" fontId="5" fillId="2" borderId="7" xfId="0" applyFont="1" applyFill="1" applyBorder="1"/>
    <xf numFmtId="3" fontId="5" fillId="2" borderId="1" xfId="0" applyNumberFormat="1" applyFont="1" applyFill="1" applyBorder="1" applyAlignment="1">
      <alignment horizontal="center"/>
    </xf>
    <xf numFmtId="3" fontId="5" fillId="2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0" fontId="7" fillId="6" borderId="1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8" fillId="6" borderId="9" xfId="0" applyFont="1" applyFill="1" applyBorder="1"/>
    <xf numFmtId="3" fontId="8" fillId="6" borderId="10" xfId="0" applyNumberFormat="1" applyFont="1" applyFill="1" applyBorder="1" applyAlignment="1">
      <alignment horizontal="center"/>
    </xf>
    <xf numFmtId="3" fontId="8" fillId="6" borderId="11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1" fontId="7" fillId="6" borderId="8" xfId="0" applyNumberFormat="1" applyFont="1" applyFill="1" applyBorder="1" applyAlignment="1">
      <alignment horizontal="center"/>
    </xf>
    <xf numFmtId="0" fontId="8" fillId="6" borderId="7" xfId="0" applyFont="1" applyFill="1" applyBorder="1"/>
    <xf numFmtId="1" fontId="7" fillId="6" borderId="10" xfId="0" applyNumberFormat="1" applyFont="1" applyFill="1" applyBorder="1" applyAlignment="1">
      <alignment horizontal="center"/>
    </xf>
    <xf numFmtId="1" fontId="7" fillId="6" borderId="1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7" fillId="0" borderId="1" xfId="0" applyFont="1" applyBorder="1"/>
    <xf numFmtId="38" fontId="7" fillId="0" borderId="1" xfId="0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7" borderId="1" xfId="0" applyFont="1" applyFill="1" applyBorder="1"/>
    <xf numFmtId="3" fontId="7" fillId="7" borderId="1" xfId="0" applyNumberFormat="1" applyFont="1" applyFill="1" applyBorder="1" applyAlignment="1">
      <alignment horizontal="center"/>
    </xf>
    <xf numFmtId="38" fontId="7" fillId="7" borderId="1" xfId="0" applyNumberFormat="1" applyFont="1" applyFill="1" applyBorder="1" applyAlignment="1">
      <alignment horizontal="center"/>
    </xf>
    <xf numFmtId="164" fontId="7" fillId="7" borderId="1" xfId="1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38" fontId="7" fillId="4" borderId="1" xfId="0" applyNumberFormat="1" applyFont="1" applyFill="1" applyBorder="1" applyAlignment="1">
      <alignment horizontal="center"/>
    </xf>
    <xf numFmtId="0" fontId="14" fillId="0" borderId="0" xfId="0" applyFont="1"/>
    <xf numFmtId="3" fontId="0" fillId="0" borderId="0" xfId="0" applyNumberFormat="1"/>
    <xf numFmtId="10" fontId="0" fillId="0" borderId="0" xfId="0" applyNumberFormat="1"/>
    <xf numFmtId="10" fontId="17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5" fillId="2" borderId="1" xfId="0" applyFont="1" applyFill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6" fillId="0" borderId="0" xfId="0" applyFont="1"/>
    <xf numFmtId="0" fontId="27" fillId="0" borderId="0" xfId="0" applyFont="1"/>
    <xf numFmtId="0" fontId="24" fillId="8" borderId="16" xfId="0" applyFont="1" applyFill="1" applyBorder="1"/>
    <xf numFmtId="0" fontId="24" fillId="8" borderId="16" xfId="0" applyFont="1" applyFill="1" applyBorder="1" applyAlignment="1">
      <alignment horizontal="center"/>
    </xf>
    <xf numFmtId="0" fontId="0" fillId="0" borderId="16" xfId="0" applyBorder="1"/>
    <xf numFmtId="3" fontId="0" fillId="0" borderId="16" xfId="0" applyNumberFormat="1" applyBorder="1"/>
    <xf numFmtId="0" fontId="4" fillId="0" borderId="16" xfId="0" applyFont="1" applyBorder="1"/>
    <xf numFmtId="166" fontId="0" fillId="0" borderId="16" xfId="0" applyNumberFormat="1" applyBorder="1"/>
    <xf numFmtId="3" fontId="4" fillId="0" borderId="16" xfId="0" applyNumberFormat="1" applyFont="1" applyBorder="1"/>
    <xf numFmtId="0" fontId="0" fillId="0" borderId="16" xfId="0" applyBorder="1" applyAlignment="1">
      <alignment horizontal="center"/>
    </xf>
    <xf numFmtId="0" fontId="28" fillId="8" borderId="16" xfId="0" applyFont="1" applyFill="1" applyBorder="1"/>
    <xf numFmtId="0" fontId="25" fillId="0" borderId="16" xfId="0" applyFont="1" applyBorder="1"/>
    <xf numFmtId="0" fontId="25" fillId="0" borderId="16" xfId="0" applyFont="1" applyBorder="1" applyAlignment="1">
      <alignment horizontal="center"/>
    </xf>
    <xf numFmtId="0" fontId="30" fillId="10" borderId="16" xfId="0" applyFont="1" applyFill="1" applyBorder="1" applyAlignment="1">
      <alignment horizontal="center"/>
    </xf>
    <xf numFmtId="0" fontId="19" fillId="8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0" fillId="8" borderId="0" xfId="0" applyFont="1" applyFill="1" applyAlignment="1">
      <alignment vertical="center"/>
    </xf>
    <xf numFmtId="0" fontId="32" fillId="0" borderId="0" xfId="0" applyFont="1"/>
    <xf numFmtId="0" fontId="25" fillId="0" borderId="16" xfId="0" applyFont="1" applyBorder="1" applyAlignment="1">
      <alignment vertical="top" wrapText="1"/>
    </xf>
    <xf numFmtId="0" fontId="25" fillId="0" borderId="16" xfId="0" applyFont="1" applyBorder="1" applyAlignment="1">
      <alignment horizontal="center" vertical="top" wrapText="1"/>
    </xf>
    <xf numFmtId="0" fontId="4" fillId="0" borderId="1" xfId="0" applyFont="1" applyBorder="1"/>
    <xf numFmtId="0" fontId="4" fillId="0" borderId="2" xfId="0" applyFont="1" applyBorder="1"/>
    <xf numFmtId="9" fontId="0" fillId="0" borderId="17" xfId="0" applyNumberFormat="1" applyBorder="1" applyAlignment="1">
      <alignment horizontal="right"/>
    </xf>
    <xf numFmtId="9" fontId="17" fillId="0" borderId="19" xfId="0" applyNumberFormat="1" applyFont="1" applyBorder="1" applyAlignment="1">
      <alignment horizontal="right"/>
    </xf>
    <xf numFmtId="0" fontId="24" fillId="8" borderId="15" xfId="0" applyFont="1" applyFill="1" applyBorder="1" applyAlignment="1">
      <alignment horizontal="center"/>
    </xf>
    <xf numFmtId="0" fontId="29" fillId="9" borderId="15" xfId="0" applyFont="1" applyFill="1" applyBorder="1" applyAlignment="1">
      <alignment horizontal="center"/>
    </xf>
    <xf numFmtId="0" fontId="30" fillId="10" borderId="15" xfId="0" applyFont="1" applyFill="1" applyBorder="1" applyAlignment="1">
      <alignment horizontal="center"/>
    </xf>
    <xf numFmtId="0" fontId="31" fillId="11" borderId="15" xfId="0" applyFont="1" applyFill="1" applyBorder="1" applyAlignment="1">
      <alignment horizontal="center"/>
    </xf>
    <xf numFmtId="0" fontId="33" fillId="12" borderId="16" xfId="0" applyFont="1" applyFill="1" applyBorder="1" applyAlignment="1">
      <alignment horizontal="center"/>
    </xf>
    <xf numFmtId="0" fontId="29" fillId="9" borderId="15" xfId="0" applyFont="1" applyFill="1" applyBorder="1" applyAlignment="1">
      <alignment horizontal="center" vertical="top" wrapText="1"/>
    </xf>
    <xf numFmtId="0" fontId="30" fillId="10" borderId="15" xfId="0" applyFont="1" applyFill="1" applyBorder="1" applyAlignment="1">
      <alignment horizontal="center" vertical="top" wrapText="1"/>
    </xf>
    <xf numFmtId="0" fontId="34" fillId="10" borderId="16" xfId="0" applyFont="1" applyFill="1" applyBorder="1" applyAlignment="1">
      <alignment horizontal="center"/>
    </xf>
    <xf numFmtId="0" fontId="8" fillId="3" borderId="20" xfId="0" applyFont="1" applyFill="1" applyBorder="1"/>
    <xf numFmtId="0" fontId="35" fillId="3" borderId="20" xfId="0" applyFont="1" applyFill="1" applyBorder="1"/>
    <xf numFmtId="1" fontId="0" fillId="0" borderId="0" xfId="0" applyNumberFormat="1" applyAlignment="1">
      <alignment horizontal="center"/>
    </xf>
    <xf numFmtId="0" fontId="0" fillId="0" borderId="17" xfId="0" applyBorder="1"/>
    <xf numFmtId="14" fontId="0" fillId="0" borderId="17" xfId="0" applyNumberFormat="1" applyBorder="1" applyAlignment="1">
      <alignment horizontal="center"/>
    </xf>
    <xf numFmtId="0" fontId="24" fillId="8" borderId="19" xfId="0" applyFont="1" applyFill="1" applyBorder="1"/>
    <xf numFmtId="0" fontId="0" fillId="0" borderId="19" xfId="0" applyBorder="1"/>
    <xf numFmtId="1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24" fillId="8" borderId="0" xfId="0" applyFont="1" applyFill="1"/>
    <xf numFmtId="0" fontId="4" fillId="13" borderId="21" xfId="0" applyFont="1" applyFill="1" applyBorder="1" applyAlignment="1">
      <alignment horizontal="center"/>
    </xf>
    <xf numFmtId="9" fontId="4" fillId="13" borderId="21" xfId="0" applyNumberFormat="1" applyFont="1" applyFill="1" applyBorder="1" applyAlignment="1">
      <alignment horizontal="center"/>
    </xf>
    <xf numFmtId="10" fontId="4" fillId="13" borderId="21" xfId="0" applyNumberFormat="1" applyFont="1" applyFill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4" fillId="14" borderId="21" xfId="0" applyNumberFormat="1" applyFont="1" applyFill="1" applyBorder="1" applyAlignment="1">
      <alignment horizontal="center"/>
    </xf>
    <xf numFmtId="10" fontId="4" fillId="13" borderId="21" xfId="0" applyNumberFormat="1" applyFont="1" applyFill="1" applyBorder="1" applyAlignment="1">
      <alignment horizontal="center" wrapText="1"/>
    </xf>
    <xf numFmtId="0" fontId="0" fillId="8" borderId="0" xfId="0" applyFill="1"/>
    <xf numFmtId="0" fontId="36" fillId="0" borderId="0" xfId="0" applyFont="1" applyAlignment="1">
      <alignment vertical="top" wrapText="1"/>
    </xf>
    <xf numFmtId="0" fontId="3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8" fillId="15" borderId="0" xfId="0" applyFont="1" applyFill="1" applyAlignment="1">
      <alignment vertical="top" wrapText="1"/>
    </xf>
    <xf numFmtId="0" fontId="22" fillId="0" borderId="0" xfId="0" applyFont="1" applyAlignment="1">
      <alignment vertical="top" wrapText="1"/>
    </xf>
    <xf numFmtId="0" fontId="39" fillId="0" borderId="0" xfId="0" applyFont="1" applyAlignment="1">
      <alignment vertical="top" wrapText="1"/>
    </xf>
    <xf numFmtId="0" fontId="28" fillId="16" borderId="16" xfId="0" applyFont="1" applyFill="1" applyBorder="1" applyAlignment="1">
      <alignment vertical="top" wrapText="1"/>
    </xf>
    <xf numFmtId="0" fontId="24" fillId="16" borderId="16" xfId="0" applyFont="1" applyFill="1" applyBorder="1" applyAlignment="1">
      <alignment horizontal="center"/>
    </xf>
    <xf numFmtId="0" fontId="0" fillId="0" borderId="16" xfId="0" applyBorder="1" applyAlignment="1">
      <alignment vertical="top" wrapText="1"/>
    </xf>
    <xf numFmtId="3" fontId="0" fillId="0" borderId="16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0" fontId="22" fillId="0" borderId="0" xfId="0" applyFont="1" applyAlignment="1">
      <alignment horizontal="center" vertical="top" wrapText="1"/>
    </xf>
    <xf numFmtId="0" fontId="22" fillId="0" borderId="0" xfId="0" applyFont="1" applyAlignment="1">
      <alignment horizontal="left" vertical="top" wrapText="1"/>
    </xf>
    <xf numFmtId="1" fontId="0" fillId="0" borderId="0" xfId="0" applyNumberFormat="1"/>
    <xf numFmtId="168" fontId="0" fillId="0" borderId="0" xfId="0" applyNumberFormat="1"/>
    <xf numFmtId="0" fontId="40" fillId="0" borderId="0" xfId="0" applyFont="1"/>
    <xf numFmtId="0" fontId="42" fillId="0" borderId="0" xfId="0" applyFont="1"/>
    <xf numFmtId="0" fontId="43" fillId="0" borderId="0" xfId="0" applyFont="1"/>
    <xf numFmtId="3" fontId="41" fillId="0" borderId="0" xfId="0" applyNumberFormat="1" applyFont="1" applyAlignment="1">
      <alignment horizontal="center"/>
    </xf>
    <xf numFmtId="171" fontId="41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4" fillId="8" borderId="1" xfId="0" applyFont="1" applyFill="1" applyBorder="1"/>
    <xf numFmtId="0" fontId="24" fillId="8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4" fillId="17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0" fillId="0" borderId="1" xfId="0" applyNumberFormat="1" applyBorder="1"/>
  </cellXfs>
  <cellStyles count="2">
    <cellStyle name="Normal" xfId="0" builtinId="0"/>
    <cellStyle name="Per 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#,##0.0"/>
    </dxf>
    <dxf>
      <numFmt numFmtId="1" formatCode="0"/>
    </dxf>
    <dxf>
      <font>
        <b/>
      </font>
    </dxf>
    <dxf>
      <numFmt numFmtId="19" formatCode="dd/mm/yy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left" vertical="bottom" textRotation="0" wrapText="0" indent="0" justifyLastLine="0" shrinkToFit="0" readingOrder="0"/>
    </dxf>
    <dxf>
      <numFmt numFmtId="19" formatCode="dd/mm/yy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colors>
    <mruColors>
      <color rgb="FFFF3548"/>
      <color rgb="FFFF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</a:rPr>
              <a:t>Net Interest Income Trend FY2019A–FY2028E</a:t>
            </a:r>
          </a:p>
        </c:rich>
      </c:tx>
      <c:layout>
        <c:manualLayout>
          <c:xMode val="edge"/>
          <c:yMode val="edge"/>
          <c:x val="0.19862299527957433"/>
          <c:y val="4.0167358723373806E-2"/>
        </c:manualLayout>
      </c:layout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CHARTS!$B$9</c:f>
              <c:strCache>
                <c:ptCount val="1"/>
                <c:pt idx="0">
                  <c:v>NII (£m)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CA-5D4F-829D-0AB3B821FE02}"/>
                </c:ext>
              </c:extLst>
            </c:dLbl>
            <c:dLbl>
              <c:idx val="1"/>
              <c:layout>
                <c:manualLayout>
                  <c:x val="0"/>
                  <c:y val="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CA-5D4F-829D-0AB3B821FE02}"/>
                </c:ext>
              </c:extLst>
            </c:dLbl>
            <c:dLbl>
              <c:idx val="2"/>
              <c:layout>
                <c:manualLayout>
                  <c:x val="-2.7777777777777779E-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CA-5D4F-829D-0AB3B821FE02}"/>
                </c:ext>
              </c:extLst>
            </c:dLbl>
            <c:dLbl>
              <c:idx val="3"/>
              <c:layout>
                <c:manualLayout>
                  <c:x val="-1.0185067526415994E-16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CA-5D4F-829D-0AB3B821F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CHARTS!$A$10:$A$19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CHARTS!$B$10:$B$19</c:f>
              <c:numCache>
                <c:formatCode>#,##0</c:formatCode>
                <c:ptCount val="10"/>
                <c:pt idx="0">
                  <c:v>2196.1771831634783</c:v>
                </c:pt>
                <c:pt idx="1">
                  <c:v>2049.591599588387</c:v>
                </c:pt>
                <c:pt idx="2">
                  <c:v>2066.5619544953784</c:v>
                </c:pt>
                <c:pt idx="3">
                  <c:v>2760.4802078256384</c:v>
                </c:pt>
                <c:pt idx="4">
                  <c:v>4388.3592382552697</c:v>
                </c:pt>
                <c:pt idx="5">
                  <c:v>4754.0591787439589</c:v>
                </c:pt>
                <c:pt idx="6">
                  <c:v>4484.7860000000001</c:v>
                </c:pt>
                <c:pt idx="7">
                  <c:v>4376.3034374999988</c:v>
                </c:pt>
                <c:pt idx="8">
                  <c:v>4529.4740578125011</c:v>
                </c:pt>
                <c:pt idx="9">
                  <c:v>4688.0056498359372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A-5D4F-829D-0AB3B821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99743"/>
        <c:axId val="597203071"/>
      </c:lineChart>
      <c:catAx>
        <c:axId val="2049997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03071"/>
        <c:crosses val="autoZero"/>
        <c:auto val="1"/>
        <c:lblAlgn val="ctr"/>
        <c:lblOffset val="100"/>
        <c:noMultiLvlLbl val="0"/>
      </c:catAx>
      <c:valAx>
        <c:axId val="59720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bg1"/>
                </a:solidFill>
                <a:effectLst/>
              </a:rPr>
              <a:t>Total Income vs Total Operating Expenses FY2019A–FY2028E</a:t>
            </a:r>
            <a:endParaRPr lang="en-US" sz="1200" b="1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Total OpEx (£m)</c:v>
          </c:tx>
          <c:spPr>
            <a:solidFill>
              <a:srgbClr val="ED7D3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CHARTS!$A$25:$A$34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CHARTS!$C$25:$C$34</c:f>
              <c:numCache>
                <c:formatCode>#,##0</c:formatCode>
                <c:ptCount val="10"/>
                <c:pt idx="0">
                  <c:v>1685.237664302306</c:v>
                </c:pt>
                <c:pt idx="1">
                  <c:v>1735.7947942313751</c:v>
                </c:pt>
                <c:pt idx="2">
                  <c:v>1787.8686380583165</c:v>
                </c:pt>
                <c:pt idx="3">
                  <c:v>1841.5046972000659</c:v>
                </c:pt>
                <c:pt idx="4">
                  <c:v>1896.7498381160681</c:v>
                </c:pt>
                <c:pt idx="5">
                  <c:v>1953.6523332595498</c:v>
                </c:pt>
                <c:pt idx="6">
                  <c:v>2012.2619032573364</c:v>
                </c:pt>
                <c:pt idx="7">
                  <c:v>2072.6297603550565</c:v>
                </c:pt>
                <c:pt idx="8">
                  <c:v>2134.8086531657082</c:v>
                </c:pt>
                <c:pt idx="9">
                  <c:v>2198.8529127606798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3-864E-91B2-ED4633ED2B50}"/>
            </c:ext>
          </c:extLst>
        </c:ser>
        <c:ser>
          <c:idx val="0"/>
          <c:order val="0"/>
          <c:tx>
            <c:v>Total Income (£m)</c:v>
          </c:tx>
          <c:spPr>
            <a:solidFill>
              <a:srgbClr val="1F386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CHARTS!$A$25:$A$34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CHARTS!$B$25:$B$34</c:f>
              <c:numCache>
                <c:formatCode>#,##0</c:formatCode>
                <c:ptCount val="10"/>
                <c:pt idx="0">
                  <c:v>2808.7294405038433</c:v>
                </c:pt>
                <c:pt idx="1">
                  <c:v>2672.4105966863744</c:v>
                </c:pt>
                <c:pt idx="2">
                  <c:v>2708.4413489378649</c:v>
                </c:pt>
                <c:pt idx="3">
                  <c:v>3455.9048103197583</c:v>
                </c:pt>
                <c:pt idx="4">
                  <c:v>5184.6868129944705</c:v>
                </c:pt>
                <c:pt idx="5">
                  <c:v>5588.8635869565196</c:v>
                </c:pt>
                <c:pt idx="6">
                  <c:v>5327.0253000000002</c:v>
                </c:pt>
                <c:pt idx="7">
                  <c:v>5234.7486093749985</c:v>
                </c:pt>
                <c:pt idx="8">
                  <c:v>5417.9648107031262</c:v>
                </c:pt>
                <c:pt idx="9">
                  <c:v>5607.5935790777339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3-864E-91B2-ED4633ED2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3366208"/>
        <c:axId val="1833364864"/>
      </c:barChart>
      <c:catAx>
        <c:axId val="18333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64864"/>
        <c:crosses val="autoZero"/>
        <c:auto val="1"/>
        <c:lblAlgn val="ctr"/>
        <c:lblOffset val="100"/>
        <c:noMultiLvlLbl val="0"/>
      </c:catAx>
      <c:valAx>
        <c:axId val="18333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Net Profit &amp; NIM % FY2019A–FY2028E</a:t>
            </a:r>
            <a:endParaRPr lang="en-US" sz="1200" b="1"/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CHARTS!$B$39</c:f>
              <c:strCache>
                <c:ptCount val="1"/>
                <c:pt idx="0">
                  <c:v>Net Profit (£m)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CHARTS!$A$40:$A$49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CHARTS!$B$40:$B$49</c:f>
              <c:numCache>
                <c:formatCode>#,##0</c:formatCode>
                <c:ptCount val="10"/>
                <c:pt idx="0">
                  <c:v>514.66702558967734</c:v>
                </c:pt>
                <c:pt idx="1">
                  <c:v>349.45984089530674</c:v>
                </c:pt>
                <c:pt idx="2">
                  <c:v>322.14297315092796</c:v>
                </c:pt>
                <c:pt idx="3">
                  <c:v>869.31993667229187</c:v>
                </c:pt>
                <c:pt idx="4">
                  <c:v>2045.8729159939205</c:v>
                </c:pt>
                <c:pt idx="5">
                  <c:v>2291.6258315770756</c:v>
                </c:pt>
                <c:pt idx="6">
                  <c:v>2036.0725475569977</c:v>
                </c:pt>
                <c:pt idx="7">
                  <c:v>1905.8391367649565</c:v>
                </c:pt>
                <c:pt idx="8">
                  <c:v>1980.3158681530635</c:v>
                </c:pt>
                <c:pt idx="9">
                  <c:v>2057.6324559877908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5-BE4A-9FDD-6A5703584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386240"/>
        <c:axId val="1861391168"/>
      </c:barChart>
      <c:lineChart>
        <c:grouping val="standard"/>
        <c:varyColors val="0"/>
        <c:ser>
          <c:idx val="2"/>
          <c:order val="1"/>
          <c:tx>
            <c:strRef>
              <c:f>CHARTS!$C$39</c:f>
              <c:strCache>
                <c:ptCount val="1"/>
                <c:pt idx="0">
                  <c:v>NIM %</c:v>
                </c:pt>
              </c:strCache>
            </c:strRef>
          </c:tx>
          <c:spPr>
            <a:ln w="34925" cap="rnd">
              <a:solidFill>
                <a:srgbClr val="C00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CHARTS!$A$40:$A$49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CHARTS!$C$40:$C$49</c:f>
              <c:numCache>
                <c:formatCode>#,##0.00</c:formatCode>
                <c:ptCount val="10"/>
                <c:pt idx="0">
                  <c:v>1.7473543689320383</c:v>
                </c:pt>
                <c:pt idx="1">
                  <c:v>1.5755805016181228</c:v>
                </c:pt>
                <c:pt idx="2">
                  <c:v>1.5349044498381881</c:v>
                </c:pt>
                <c:pt idx="3">
                  <c:v>1.9809668284789639</c:v>
                </c:pt>
                <c:pt idx="4">
                  <c:v>3.0426667475728157</c:v>
                </c:pt>
                <c:pt idx="5">
                  <c:v>3.1847580906148849</c:v>
                </c:pt>
                <c:pt idx="6">
                  <c:v>2.9027741100323623</c:v>
                </c:pt>
                <c:pt idx="7">
                  <c:v>2.7367718446601934</c:v>
                </c:pt>
                <c:pt idx="8">
                  <c:v>2.7367718446601947</c:v>
                </c:pt>
                <c:pt idx="9">
                  <c:v>2.7367718446601943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5-BE4A-9FDD-6A5703584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658944"/>
        <c:axId val="1236230464"/>
      </c:lineChart>
      <c:catAx>
        <c:axId val="18613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91168"/>
        <c:crosses val="autoZero"/>
        <c:auto val="1"/>
        <c:lblAlgn val="ctr"/>
        <c:lblOffset val="100"/>
        <c:noMultiLvlLbl val="0"/>
      </c:catAx>
      <c:valAx>
        <c:axId val="18613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86240"/>
        <c:crosses val="autoZero"/>
        <c:crossBetween val="between"/>
      </c:valAx>
      <c:valAx>
        <c:axId val="1236230464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58944"/>
        <c:crosses val="max"/>
        <c:crossBetween val="between"/>
      </c:valAx>
      <c:catAx>
        <c:axId val="125765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23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</a:rPr>
              <a:t>Net Profit After Tax — Scenario Comparison</a:t>
            </a:r>
            <a:endParaRPr lang="en-US" sz="1200" b="1"/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CHARTS!$B$72:$B$73</c:f>
              <c:strCache>
                <c:ptCount val="2"/>
                <c:pt idx="0">
                  <c:v>CHART 5 — SCENARIO COMPARISON — NET PROFIT AFTER TAX</c:v>
                </c:pt>
                <c:pt idx="1">
                  <c:v>Net Profit (£m)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723-2B46-BE62-1F9359E9A2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23-2B46-BE62-1F9359E9A21F}"/>
              </c:ext>
            </c:extLst>
          </c:dPt>
          <c:dPt>
            <c:idx val="3"/>
            <c:invertIfNegative val="0"/>
            <c:bubble3D val="0"/>
            <c:spPr>
              <a:solidFill>
                <a:srgbClr val="FF3548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723-2B46-BE62-1F9359E9A2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CHARTS!$A$74:$A$77</c:f>
              <c:strCache>
                <c:ptCount val="4"/>
                <c:pt idx="0">
                  <c:v>BASE</c:v>
                </c:pt>
                <c:pt idx="1">
                  <c:v>BULL</c:v>
                </c:pt>
                <c:pt idx="2">
                  <c:v>BEAR</c:v>
                </c:pt>
                <c:pt idx="3">
                  <c:v>SEVERE STRESS</c:v>
                </c:pt>
              </c:strCache>
            </c:strRef>
          </c:cat>
          <c:val>
            <c:numRef>
              <c:f>CHARTS!$B$74:$B$77</c:f>
              <c:numCache>
                <c:formatCode>#,##0</c:formatCode>
                <c:ptCount val="4"/>
                <c:pt idx="0">
                  <c:v>2057.6324559877912</c:v>
                </c:pt>
                <c:pt idx="1">
                  <c:v>2634.1103719711455</c:v>
                </c:pt>
                <c:pt idx="2">
                  <c:v>1711.9831761120906</c:v>
                </c:pt>
                <c:pt idx="3">
                  <c:v>1192.9155820127589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3-2B46-BE62-1F9359E9A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61404864"/>
        <c:axId val="1833351616"/>
      </c:barChart>
      <c:catAx>
        <c:axId val="18614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51616"/>
        <c:crosses val="autoZero"/>
        <c:auto val="1"/>
        <c:lblAlgn val="ctr"/>
        <c:lblOffset val="100"/>
        <c:noMultiLvlLbl val="0"/>
      </c:catAx>
      <c:valAx>
        <c:axId val="18333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0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r>
              <a:rPr lang="en-IN" sz="1400" b="1" i="0" u="none" strike="noStrike" spc="100" baseline="0">
                <a:solidFill>
                  <a:schemeClr val="bg1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P&amp;L Bridge FY2024 — NII to Net Profit</a:t>
            </a:r>
            <a:endParaRPr lang="en-GB" sz="1400" b="1" i="0" u="none" strike="noStrike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  <cx:spPr>
        <a:solidFill>
          <a:schemeClr val="accent1">
            <a:lumMod val="50000"/>
          </a:schemeClr>
        </a:solidFill>
      </cx:spPr>
    </cx:title>
    <cx:plotArea>
      <cx:plotAreaRegion>
        <cx:series layoutId="waterfall" uniqueId="{00000000-1A80-BB4D-AF68-9ADBAF5B2FC3}">
          <cx:tx>
            <cx:txData>
              <cx:f>_xlchart.v1.1</cx:f>
              <cx:v>Amount (£m)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825498</xdr:colOff>
      <xdr:row>4</xdr:row>
      <xdr:rowOff>84666</xdr:rowOff>
    </xdr:from>
    <xdr:to>
      <xdr:col>9</xdr:col>
      <xdr:colOff>391582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7C153-4EF5-50AD-6BAB-9DB0C24FF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820209</xdr:colOff>
      <xdr:row>19</xdr:row>
      <xdr:rowOff>42332</xdr:rowOff>
    </xdr:from>
    <xdr:to>
      <xdr:col>9</xdr:col>
      <xdr:colOff>439209</xdr:colOff>
      <xdr:row>33</xdr:row>
      <xdr:rowOff>22224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FE7690-209C-E4F1-57CD-9368FA956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820208</xdr:colOff>
      <xdr:row>34</xdr:row>
      <xdr:rowOff>200025</xdr:rowOff>
    </xdr:from>
    <xdr:to>
      <xdr:col>9</xdr:col>
      <xdr:colOff>439208</xdr:colOff>
      <xdr:row>48</xdr:row>
      <xdr:rowOff>128059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70A8A2-0146-9F2B-850E-64D1BB31C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37043</xdr:colOff>
      <xdr:row>52</xdr:row>
      <xdr:rowOff>10583</xdr:rowOff>
    </xdr:from>
    <xdr:to>
      <xdr:col>10</xdr:col>
      <xdr:colOff>592667</xdr:colOff>
      <xdr:row>66</xdr:row>
      <xdr:rowOff>105835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48D40C4-CEF0-869B-B11F-EB614F4E02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8343" y="10615083"/>
              <a:ext cx="5508624" cy="29400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5292</xdr:colOff>
      <xdr:row>69</xdr:row>
      <xdr:rowOff>30692</xdr:rowOff>
    </xdr:from>
    <xdr:to>
      <xdr:col>9</xdr:col>
      <xdr:colOff>449792</xdr:colOff>
      <xdr:row>82</xdr:row>
      <xdr:rowOff>159808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302EFC-CA8A-9457-CAFE-1FCC5AD91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1A1E8D-44DB-6E4D-87CA-3F25C5BCE18E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base_rate_pct" tableColumnId="2"/>
      <queryTableField id="3" name="consumer_credit_lending_gbm" tableColumnId="3"/>
      <queryTableField id="4" name="consumer_credit_rate" tableColumnId="4"/>
      <queryTableField id="5" name="fixed_mortgage_2y_75ltv" tableColumnId="5"/>
      <queryTableField id="6" name="fixed_mortgage_3y_75ltv" tableColumnId="6"/>
      <queryTableField id="7" name="fixed_mortgage_5y_75ltv" tableColumnId="7"/>
      <queryTableField id="8" name="fixed_mortgage_10y_75ltv" tableColumnId="8"/>
      <queryTableField id="9" name="fixed_mortgage_rate" tableColumnId="9"/>
      <queryTableField id="10" name="variable_mortgage_r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768B5-D68A-2948-BDFC-888813284FD0}" name="Master_BoE_Dataset" displayName="Master_BoE_Dataset" ref="A1:J199" tableType="queryTable" totalsRowShown="0" headerRowDxfId="20">
  <tableColumns count="10">
    <tableColumn id="1" xr3:uid="{00012F5C-14DC-7B4D-87F7-6DC4AEECAFFB}" uniqueName="1" name="Date" queryTableFieldId="1" dataDxfId="19"/>
    <tableColumn id="2" xr3:uid="{48CCB640-44DB-1D4C-A63F-0961E7AE78DE}" uniqueName="2" name="base_rate_pct" queryTableFieldId="2"/>
    <tableColumn id="3" xr3:uid="{0C05FFD7-C8E3-2D48-B9CB-E38E81348AE7}" uniqueName="3" name="consumer_credit_lending_gbm" queryTableFieldId="3"/>
    <tableColumn id="4" xr3:uid="{C4CD9D00-46B6-8B48-9A47-99F4C59F8541}" uniqueName="4" name="consumer_credit_rate" queryTableFieldId="4"/>
    <tableColumn id="5" xr3:uid="{968D86A5-CE57-7F4A-92C4-AF1939737A4E}" uniqueName="5" name="fixed_mortgage_2y_75ltv" queryTableFieldId="5"/>
    <tableColumn id="6" xr3:uid="{113FBED1-41E7-5A46-8144-34A5BDB5BCD5}" uniqueName="6" name="fixed_mortgage_3y_75ltv" queryTableFieldId="6"/>
    <tableColumn id="7" xr3:uid="{B104F5D6-8EA7-8247-B5D5-0A0828E15273}" uniqueName="7" name="fixed_mortgage_5y_75ltv" queryTableFieldId="7"/>
    <tableColumn id="8" xr3:uid="{687A149C-1304-E849-9100-BB7256302D01}" uniqueName="8" name="fixed_mortgage_10y_75ltv" queryTableFieldId="8"/>
    <tableColumn id="9" xr3:uid="{D9C98B0E-6D7E-8C43-B07F-A2A42AB2F105}" uniqueName="9" name="fixed_mortgage_rate" queryTableFieldId="9"/>
    <tableColumn id="10" xr3:uid="{F14DC68A-AF35-CC44-ACCC-7A2EB732FEF2}" uniqueName="10" name="variable_mortgage_rate" queryTableFieldId="10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B84CA-E2EB-AA4C-8C36-90FBAF385BA7}" name="Table2" displayName="Table2" ref="A200:H266" totalsRowShown="0" headerRowDxfId="18" dataDxfId="17">
  <tableColumns count="8">
    <tableColumn id="1" xr3:uid="{441F64E4-E9D4-C044-915F-3FD52AF04407}" name="Date" dataDxfId="16"/>
    <tableColumn id="2" xr3:uid="{6676D3AF-5FE5-E147-9D9D-84811F5A67DB}" name="writeoffs_total_individuals_gbm" dataDxfId="15"/>
    <tableColumn id="3" xr3:uid="{FE738DE7-57FA-4548-B208-9DD01FC3075F}" name="writeoffs_mortgages_gbm" dataDxfId="14"/>
    <tableColumn id="4" xr3:uid="{C6892901-CCFF-F340-9596-4C5F7BC71ECA}" name="writeoffs_creditcard_gbm" dataDxfId="13"/>
    <tableColumn id="5" xr3:uid="{EED90F4B-A521-0640-A057-370B822B0354}" name="writeoffs_other_individual_gbm" dataDxfId="12"/>
    <tableColumn id="6" xr3:uid="{00A68FA4-B964-094C-A696-AD1651D770B4}" name="Column1" dataDxfId="11">
      <calculatedColumnFormula>AVERAGE(Table2[[#This Row],[writeoffs_total_individuals_gbm]:[writeoffs_other_individual_gbm]])</calculatedColumnFormula>
    </tableColumn>
    <tableColumn id="7" xr3:uid="{AE9F7884-D51E-3D40-BE57-D2A6A5B74BD8}" name="Column2" dataDxfId="10">
      <calculatedColumnFormula>SUM(Table2[[#This Row],[writeoffs_total_individuals_gbm]:[Column1]])/4</calculatedColumnFormula>
    </tableColumn>
    <tableColumn id="8" xr3:uid="{738AC29F-643B-5740-AAD2-46EE8F09DFA4}" name="Column3" dataDxfId="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F47BD-166B-E740-A8C1-2334394FA057}" name="Table3" displayName="Table3" ref="A267:G273" totalsRowShown="0" headerRowDxfId="8">
  <tableColumns count="7">
    <tableColumn id="1" xr3:uid="{7BAD750A-F34F-5E4D-A55D-C577299A0672}" name="Date" dataDxfId="7"/>
    <tableColumn id="2" xr3:uid="{991FCCD3-17F1-9D4D-8A7B-96B1C1C7D833}" name="Total_Interest_Receivable"/>
    <tableColumn id="3" xr3:uid="{1CEC923D-0E4D-2B4E-BCCE-2AEA5DA68787}" name="Total_Interest_Payable"/>
    <tableColumn id="4" xr3:uid="{6B8A0C39-7DCE-C94A-85A9-4F10B30142A6}" name="Net_Interest"/>
    <tableColumn id="5" xr3:uid="{3A585657-2170-E141-A120-608B9B19AB18}" name="Fees_Income"/>
    <tableColumn id="6" xr3:uid="{1ADE5452-B66F-A742-A3CA-07ACA5CF47B6}" name="Fees_Expense"/>
    <tableColumn id="7" xr3:uid="{8ED7AFC9-7A62-B14B-9DD5-2D66F4FA617D}" name="Fees_Net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C7695F-459D-4549-8609-BE972E006169}" name="BI_Extract" displayName="BI_Extract" ref="A1:E466" totalsRowShown="0" headerRowDxfId="6">
  <autoFilter ref="A1:E466" xr:uid="{8CC7695F-459D-4549-8609-BE972E006169}"/>
  <tableColumns count="5">
    <tableColumn id="1" xr3:uid="{EB9D553D-51C3-3E49-9590-F58D93B2228A}" name="Year" dataDxfId="5"/>
    <tableColumn id="2" xr3:uid="{486F8EF5-05A5-F64B-9E3B-164486446B10}" name="Statement"/>
    <tableColumn id="3" xr3:uid="{58B85C18-F9CA-BE45-8236-A74A9130A0AC}" name="Line Item"/>
    <tableColumn id="4" xr3:uid="{E2D77266-29D1-114E-9FA5-E0B4DBE268DB}" name="Unit"/>
    <tableColumn id="5" xr3:uid="{E6D07D2D-04AA-3646-A01E-243217A85939}" name="Valu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DB42D4-DFAD-7643-AD89-D97F93E6E64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84eea48-e531-4faf-ac20-08096ec921c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9F95-F924-0C43-BD7A-AAFE1465B1EE}">
  <sheetPr>
    <tabColor rgb="FF203764"/>
  </sheetPr>
  <dimension ref="A1:E57"/>
  <sheetViews>
    <sheetView tabSelected="1" topLeftCell="A55" workbookViewId="0">
      <selection activeCell="B49" sqref="B49"/>
    </sheetView>
  </sheetViews>
  <sheetFormatPr baseColWidth="10" defaultRowHeight="16" x14ac:dyDescent="0.2"/>
  <cols>
    <col min="1" max="1" width="23.83203125" customWidth="1"/>
    <col min="2" max="2" width="91.83203125" customWidth="1"/>
    <col min="3" max="4" width="15" customWidth="1"/>
    <col min="5" max="5" width="18.33203125" customWidth="1"/>
  </cols>
  <sheetData>
    <row r="1" spans="1:5" ht="21" x14ac:dyDescent="0.2">
      <c r="A1" s="130" t="s">
        <v>210</v>
      </c>
      <c r="B1" s="131"/>
      <c r="C1" s="131"/>
      <c r="D1" s="131"/>
      <c r="E1" s="131"/>
    </row>
    <row r="2" spans="1:5" x14ac:dyDescent="0.2">
      <c r="A2" s="132" t="s">
        <v>211</v>
      </c>
      <c r="B2" s="131"/>
      <c r="C2" s="131"/>
      <c r="D2" s="131"/>
      <c r="E2" s="131"/>
    </row>
    <row r="4" spans="1:5" ht="17" x14ac:dyDescent="0.2">
      <c r="A4" s="113" t="s">
        <v>212</v>
      </c>
    </row>
    <row r="5" spans="1:5" x14ac:dyDescent="0.2">
      <c r="B5" s="114" t="s">
        <v>213</v>
      </c>
    </row>
    <row r="6" spans="1:5" x14ac:dyDescent="0.2">
      <c r="B6" s="115" t="s">
        <v>396</v>
      </c>
    </row>
    <row r="8" spans="1:5" ht="17" x14ac:dyDescent="0.2">
      <c r="A8" s="113" t="s">
        <v>214</v>
      </c>
    </row>
    <row r="9" spans="1:5" x14ac:dyDescent="0.2">
      <c r="B9" s="118" t="s">
        <v>215</v>
      </c>
      <c r="C9" s="119" t="s">
        <v>216</v>
      </c>
      <c r="D9" s="119" t="s">
        <v>217</v>
      </c>
      <c r="E9" s="119" t="s">
        <v>218</v>
      </c>
    </row>
    <row r="10" spans="1:5" x14ac:dyDescent="0.2">
      <c r="B10" s="120" t="s">
        <v>207</v>
      </c>
      <c r="C10" s="121">
        <f>PL_MODEL!G6</f>
        <v>4754.0591787439589</v>
      </c>
      <c r="D10" s="121">
        <f>PL_MODEL!H6</f>
        <v>4484.7860000000001</v>
      </c>
      <c r="E10" s="121">
        <f>PL_MODEL!K6</f>
        <v>4688.0056498359372</v>
      </c>
    </row>
    <row r="11" spans="1:5" x14ac:dyDescent="0.2">
      <c r="B11" s="120" t="s">
        <v>59</v>
      </c>
      <c r="C11" s="121">
        <f>PL_MODEL!G10</f>
        <v>5588.8635869565196</v>
      </c>
      <c r="D11" s="121">
        <f>PL_MODEL!H10</f>
        <v>5327.0253000000002</v>
      </c>
      <c r="E11" s="121">
        <f>PL_MODEL!K10</f>
        <v>5607.5935790777339</v>
      </c>
    </row>
    <row r="12" spans="1:5" x14ac:dyDescent="0.2">
      <c r="B12" s="120" t="s">
        <v>65</v>
      </c>
      <c r="C12" s="121">
        <f>PL_MODEL!G16</f>
        <v>1953.6523332595498</v>
      </c>
      <c r="D12" s="121">
        <f>PL_MODEL!H16</f>
        <v>2012.2619032573364</v>
      </c>
      <c r="E12" s="121">
        <f>PL_MODEL!K16</f>
        <v>2198.8529127606798</v>
      </c>
    </row>
    <row r="13" spans="1:5" x14ac:dyDescent="0.2">
      <c r="B13" s="120" t="s">
        <v>67</v>
      </c>
      <c r="C13" s="121">
        <f>PL_MODEL!G18</f>
        <v>579.71014492753625</v>
      </c>
      <c r="D13" s="121">
        <f>PL_MODEL!H18</f>
        <v>600</v>
      </c>
      <c r="E13" s="121">
        <f>PL_MODEL!K18</f>
        <v>665.23072500000001</v>
      </c>
    </row>
    <row r="14" spans="1:5" x14ac:dyDescent="0.2">
      <c r="B14" s="120" t="s">
        <v>68</v>
      </c>
      <c r="C14" s="121">
        <f>PL_MODEL!G19</f>
        <v>3055.5011087694338</v>
      </c>
      <c r="D14" s="121">
        <f>PL_MODEL!H19</f>
        <v>2714.7633967426636</v>
      </c>
      <c r="E14" s="121">
        <f>PL_MODEL!K19</f>
        <v>2743.5099413170542</v>
      </c>
    </row>
    <row r="15" spans="1:5" x14ac:dyDescent="0.2">
      <c r="B15" s="122" t="s">
        <v>70</v>
      </c>
      <c r="C15" s="124">
        <f>PL_MODEL!G21</f>
        <v>2291.6258315770756</v>
      </c>
      <c r="D15" s="124">
        <f>PL_MODEL!H21</f>
        <v>2036.0725475569977</v>
      </c>
      <c r="E15" s="124">
        <f>PL_MODEL!K21</f>
        <v>2057.6324559877908</v>
      </c>
    </row>
    <row r="16" spans="1:5" x14ac:dyDescent="0.2">
      <c r="B16" s="120" t="s">
        <v>219</v>
      </c>
      <c r="C16" s="121">
        <f>BALANCE_SHEET!G8</f>
        <v>173201.1402144185</v>
      </c>
      <c r="D16" s="121">
        <f>BALANCE_SHEET!H8</f>
        <v>180063.36345309758</v>
      </c>
      <c r="E16" s="121">
        <f>BALANCE_SHEET!K8</f>
        <v>201763.77747964108</v>
      </c>
    </row>
    <row r="17" spans="1:5" x14ac:dyDescent="0.2">
      <c r="B17" s="120" t="s">
        <v>220</v>
      </c>
      <c r="C17" s="121">
        <f>BALANCE_SHEET!G5</f>
        <v>144927.53623188406</v>
      </c>
      <c r="D17" s="121">
        <f>BALANCE_SHEET!H5</f>
        <v>150000</v>
      </c>
      <c r="E17" s="121">
        <f>BALANCE_SHEET!K5</f>
        <v>166307.68124999999</v>
      </c>
    </row>
    <row r="18" spans="1:5" x14ac:dyDescent="0.2">
      <c r="B18" s="120" t="s">
        <v>91</v>
      </c>
      <c r="C18" s="121">
        <f>BALANCE_SHEET!G10</f>
        <v>130434.78260869566</v>
      </c>
      <c r="D18" s="121">
        <f>BALANCE_SHEET!H10</f>
        <v>135000</v>
      </c>
      <c r="E18" s="121">
        <f>BALANCE_SHEET!K10</f>
        <v>149676.91312499999</v>
      </c>
    </row>
    <row r="19" spans="1:5" x14ac:dyDescent="0.2">
      <c r="B19" s="120" t="s">
        <v>221</v>
      </c>
      <c r="C19" s="121">
        <f>BALANCE_SHEET!G17</f>
        <v>12041.719924563391</v>
      </c>
      <c r="D19" s="121">
        <f>BALANCE_SHEET!H17</f>
        <v>13263.363453097591</v>
      </c>
      <c r="E19" s="121">
        <f>BALANCE_SHEET!K17</f>
        <v>16829.635929641074</v>
      </c>
    </row>
    <row r="21" spans="1:5" ht="17" x14ac:dyDescent="0.2">
      <c r="A21" s="113" t="s">
        <v>222</v>
      </c>
    </row>
    <row r="22" spans="1:5" x14ac:dyDescent="0.2">
      <c r="B22" s="118" t="s">
        <v>209</v>
      </c>
      <c r="C22" s="119" t="s">
        <v>223</v>
      </c>
      <c r="D22" s="119" t="s">
        <v>224</v>
      </c>
    </row>
    <row r="23" spans="1:5" x14ac:dyDescent="0.2">
      <c r="B23" s="120" t="s">
        <v>225</v>
      </c>
      <c r="C23" s="121" t="s">
        <v>298</v>
      </c>
      <c r="D23" s="123" t="s">
        <v>227</v>
      </c>
      <c r="E23" s="116" t="s">
        <v>299</v>
      </c>
    </row>
    <row r="24" spans="1:5" x14ac:dyDescent="0.2">
      <c r="B24" s="122" t="s">
        <v>226</v>
      </c>
      <c r="C24" s="124">
        <f>PL_MODEL!G21</f>
        <v>2291.6258315770756</v>
      </c>
      <c r="D24" s="125" t="s">
        <v>227</v>
      </c>
    </row>
    <row r="25" spans="1:5" x14ac:dyDescent="0.2">
      <c r="B25" s="120" t="s">
        <v>228</v>
      </c>
      <c r="C25" s="121" t="s">
        <v>298</v>
      </c>
      <c r="D25" s="123" t="s">
        <v>227</v>
      </c>
    </row>
    <row r="26" spans="1:5" x14ac:dyDescent="0.2">
      <c r="B26" s="120" t="s">
        <v>229</v>
      </c>
      <c r="C26" s="121" t="s">
        <v>298</v>
      </c>
      <c r="D26" s="123" t="s">
        <v>227</v>
      </c>
    </row>
    <row r="28" spans="1:5" ht="17" x14ac:dyDescent="0.2">
      <c r="A28" s="113" t="s">
        <v>230</v>
      </c>
    </row>
    <row r="29" spans="1:5" x14ac:dyDescent="0.2">
      <c r="B29" s="117" t="s">
        <v>231</v>
      </c>
    </row>
    <row r="30" spans="1:5" x14ac:dyDescent="0.2">
      <c r="B30" s="117" t="s">
        <v>232</v>
      </c>
    </row>
    <row r="31" spans="1:5" x14ac:dyDescent="0.2">
      <c r="B31" s="117" t="s">
        <v>233</v>
      </c>
    </row>
    <row r="32" spans="1:5" x14ac:dyDescent="0.2">
      <c r="B32" s="117" t="s">
        <v>234</v>
      </c>
    </row>
    <row r="34" spans="1:5" ht="17" x14ac:dyDescent="0.2">
      <c r="A34" s="113" t="s">
        <v>345</v>
      </c>
    </row>
    <row r="35" spans="1:5" x14ac:dyDescent="0.2">
      <c r="B35" s="126" t="s">
        <v>235</v>
      </c>
      <c r="C35" s="119" t="s">
        <v>236</v>
      </c>
      <c r="D35" s="140" t="s">
        <v>237</v>
      </c>
      <c r="E35" s="119" t="s">
        <v>265</v>
      </c>
    </row>
    <row r="36" spans="1:5" x14ac:dyDescent="0.2">
      <c r="B36" s="127" t="s">
        <v>346</v>
      </c>
      <c r="C36" s="128" t="s">
        <v>238</v>
      </c>
      <c r="D36" s="141" t="s">
        <v>239</v>
      </c>
      <c r="E36" s="144" t="s">
        <v>266</v>
      </c>
    </row>
    <row r="37" spans="1:5" x14ac:dyDescent="0.2">
      <c r="B37" s="127" t="s">
        <v>347</v>
      </c>
      <c r="C37" s="128" t="s">
        <v>240</v>
      </c>
      <c r="D37" s="141" t="s">
        <v>239</v>
      </c>
      <c r="E37" s="144" t="s">
        <v>266</v>
      </c>
    </row>
    <row r="38" spans="1:5" x14ac:dyDescent="0.2">
      <c r="B38" s="127" t="s">
        <v>348</v>
      </c>
      <c r="C38" s="128" t="s">
        <v>241</v>
      </c>
      <c r="D38" s="141" t="s">
        <v>239</v>
      </c>
      <c r="E38" s="144" t="s">
        <v>266</v>
      </c>
    </row>
    <row r="39" spans="1:5" x14ac:dyDescent="0.2">
      <c r="B39" s="127" t="s">
        <v>349</v>
      </c>
      <c r="C39" s="128" t="s">
        <v>242</v>
      </c>
      <c r="D39" s="142" t="s">
        <v>243</v>
      </c>
      <c r="E39" s="144" t="s">
        <v>266</v>
      </c>
    </row>
    <row r="40" spans="1:5" x14ac:dyDescent="0.2">
      <c r="B40" s="127" t="s">
        <v>350</v>
      </c>
      <c r="C40" s="128" t="s">
        <v>244</v>
      </c>
      <c r="D40" s="142" t="s">
        <v>243</v>
      </c>
      <c r="E40" s="144" t="s">
        <v>266</v>
      </c>
    </row>
    <row r="41" spans="1:5" x14ac:dyDescent="0.2">
      <c r="B41" s="127" t="s">
        <v>351</v>
      </c>
      <c r="C41" s="128" t="s">
        <v>245</v>
      </c>
      <c r="D41" s="142" t="s">
        <v>243</v>
      </c>
      <c r="E41" s="144" t="s">
        <v>266</v>
      </c>
    </row>
    <row r="42" spans="1:5" x14ac:dyDescent="0.2">
      <c r="B42" s="127" t="s">
        <v>352</v>
      </c>
      <c r="C42" s="128" t="s">
        <v>246</v>
      </c>
      <c r="D42" s="142" t="s">
        <v>243</v>
      </c>
      <c r="E42" s="144" t="s">
        <v>266</v>
      </c>
    </row>
    <row r="43" spans="1:5" x14ac:dyDescent="0.2">
      <c r="B43" s="127" t="s">
        <v>353</v>
      </c>
      <c r="C43" s="128" t="s">
        <v>247</v>
      </c>
      <c r="D43" s="143" t="s">
        <v>248</v>
      </c>
      <c r="E43" s="144" t="s">
        <v>266</v>
      </c>
    </row>
    <row r="44" spans="1:5" x14ac:dyDescent="0.2">
      <c r="B44" s="127" t="s">
        <v>395</v>
      </c>
      <c r="C44" s="128" t="s">
        <v>249</v>
      </c>
      <c r="D44" s="143" t="s">
        <v>248</v>
      </c>
      <c r="E44" s="144" t="s">
        <v>266</v>
      </c>
    </row>
    <row r="45" spans="1:5" x14ac:dyDescent="0.2">
      <c r="B45" s="127" t="s">
        <v>354</v>
      </c>
      <c r="C45" s="128" t="s">
        <v>250</v>
      </c>
      <c r="D45" s="143" t="s">
        <v>248</v>
      </c>
      <c r="E45" s="129" t="s">
        <v>355</v>
      </c>
    </row>
    <row r="47" spans="1:5" ht="17" x14ac:dyDescent="0.2">
      <c r="A47" s="113" t="s">
        <v>251</v>
      </c>
    </row>
    <row r="48" spans="1:5" x14ac:dyDescent="0.2">
      <c r="B48" s="133" t="s">
        <v>252</v>
      </c>
    </row>
    <row r="49" spans="2:5" x14ac:dyDescent="0.2">
      <c r="B49" s="118" t="s">
        <v>253</v>
      </c>
      <c r="C49" s="119" t="s">
        <v>236</v>
      </c>
      <c r="D49" s="140" t="s">
        <v>237</v>
      </c>
      <c r="E49" s="119" t="s">
        <v>265</v>
      </c>
    </row>
    <row r="50" spans="2:5" ht="45" x14ac:dyDescent="0.2">
      <c r="B50" s="134" t="s">
        <v>356</v>
      </c>
      <c r="C50" s="135" t="s">
        <v>254</v>
      </c>
      <c r="D50" s="145" t="s">
        <v>239</v>
      </c>
      <c r="E50" s="147" t="s">
        <v>364</v>
      </c>
    </row>
    <row r="51" spans="2:5" ht="45" x14ac:dyDescent="0.2">
      <c r="B51" s="134" t="s">
        <v>357</v>
      </c>
      <c r="C51" s="135" t="s">
        <v>255</v>
      </c>
      <c r="D51" s="145" t="s">
        <v>239</v>
      </c>
      <c r="E51" s="144" t="s">
        <v>266</v>
      </c>
    </row>
    <row r="52" spans="2:5" ht="30" x14ac:dyDescent="0.2">
      <c r="B52" s="134" t="s">
        <v>358</v>
      </c>
      <c r="C52" s="135" t="s">
        <v>256</v>
      </c>
      <c r="D52" s="145" t="s">
        <v>239</v>
      </c>
      <c r="E52" s="144" t="s">
        <v>266</v>
      </c>
    </row>
    <row r="53" spans="2:5" ht="30" x14ac:dyDescent="0.2">
      <c r="B53" s="134" t="s">
        <v>359</v>
      </c>
      <c r="C53" s="135" t="s">
        <v>257</v>
      </c>
      <c r="D53" s="145" t="s">
        <v>239</v>
      </c>
      <c r="E53" s="144" t="s">
        <v>266</v>
      </c>
    </row>
    <row r="54" spans="2:5" ht="30" x14ac:dyDescent="0.2">
      <c r="B54" s="134" t="s">
        <v>360</v>
      </c>
      <c r="C54" s="135" t="s">
        <v>258</v>
      </c>
      <c r="D54" s="146" t="s">
        <v>243</v>
      </c>
      <c r="E54" s="144" t="s">
        <v>266</v>
      </c>
    </row>
    <row r="55" spans="2:5" ht="30" x14ac:dyDescent="0.2">
      <c r="B55" s="134" t="s">
        <v>361</v>
      </c>
      <c r="C55" s="135" t="s">
        <v>259</v>
      </c>
      <c r="D55" s="146" t="s">
        <v>243</v>
      </c>
      <c r="E55" s="144" t="s">
        <v>266</v>
      </c>
    </row>
    <row r="56" spans="2:5" ht="30" x14ac:dyDescent="0.2">
      <c r="B56" s="134" t="s">
        <v>362</v>
      </c>
      <c r="C56" s="135" t="s">
        <v>260</v>
      </c>
      <c r="D56" s="146" t="s">
        <v>243</v>
      </c>
      <c r="E56" s="144" t="s">
        <v>266</v>
      </c>
    </row>
    <row r="57" spans="2:5" ht="45" x14ac:dyDescent="0.2">
      <c r="B57" s="134" t="s">
        <v>363</v>
      </c>
      <c r="C57" s="135" t="s">
        <v>261</v>
      </c>
      <c r="D57" s="146" t="s">
        <v>243</v>
      </c>
      <c r="E57" s="144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F822-EB4A-3F43-9AFD-8256D58690E7}">
  <sheetPr>
    <tabColor rgb="FF1F4E78"/>
  </sheetPr>
  <dimension ref="B2:E53"/>
  <sheetViews>
    <sheetView workbookViewId="0">
      <selection activeCell="B62" sqref="B62"/>
    </sheetView>
  </sheetViews>
  <sheetFormatPr baseColWidth="10" defaultRowHeight="16" x14ac:dyDescent="0.2"/>
  <cols>
    <col min="1" max="1" width="3" customWidth="1"/>
    <col min="2" max="2" width="163.33203125" customWidth="1"/>
    <col min="3" max="5" width="15" customWidth="1"/>
  </cols>
  <sheetData>
    <row r="2" spans="2:2" ht="25" x14ac:dyDescent="0.2">
      <c r="B2" s="165" t="s">
        <v>302</v>
      </c>
    </row>
    <row r="3" spans="2:2" ht="32" x14ac:dyDescent="0.2">
      <c r="B3" s="166" t="s">
        <v>303</v>
      </c>
    </row>
    <row r="4" spans="2:2" x14ac:dyDescent="0.2">
      <c r="B4" s="166" t="s">
        <v>304</v>
      </c>
    </row>
    <row r="5" spans="2:2" x14ac:dyDescent="0.2">
      <c r="B5" s="167"/>
    </row>
    <row r="6" spans="2:2" ht="18" x14ac:dyDescent="0.2">
      <c r="B6" s="168" t="s">
        <v>305</v>
      </c>
    </row>
    <row r="7" spans="2:2" ht="48" x14ac:dyDescent="0.2">
      <c r="B7" s="176" t="s">
        <v>306</v>
      </c>
    </row>
    <row r="8" spans="2:2" ht="32" x14ac:dyDescent="0.2">
      <c r="B8" s="176" t="s">
        <v>307</v>
      </c>
    </row>
    <row r="9" spans="2:2" x14ac:dyDescent="0.2">
      <c r="B9" s="167"/>
    </row>
    <row r="10" spans="2:2" ht="18" x14ac:dyDescent="0.2">
      <c r="B10" s="168" t="s">
        <v>308</v>
      </c>
    </row>
    <row r="11" spans="2:2" x14ac:dyDescent="0.2">
      <c r="B11" s="169" t="s">
        <v>309</v>
      </c>
    </row>
    <row r="12" spans="2:2" x14ac:dyDescent="0.2">
      <c r="B12" s="169" t="s">
        <v>310</v>
      </c>
    </row>
    <row r="13" spans="2:2" x14ac:dyDescent="0.2">
      <c r="B13" s="169" t="s">
        <v>311</v>
      </c>
    </row>
    <row r="14" spans="2:2" x14ac:dyDescent="0.2">
      <c r="B14" s="169" t="s">
        <v>312</v>
      </c>
    </row>
    <row r="15" spans="2:2" x14ac:dyDescent="0.2">
      <c r="B15" s="167"/>
    </row>
    <row r="16" spans="2:2" ht="18" x14ac:dyDescent="0.2">
      <c r="B16" s="168" t="s">
        <v>313</v>
      </c>
    </row>
    <row r="17" spans="2:2" x14ac:dyDescent="0.2">
      <c r="B17" s="169" t="s">
        <v>314</v>
      </c>
    </row>
    <row r="18" spans="2:2" x14ac:dyDescent="0.2">
      <c r="B18" s="169" t="s">
        <v>315</v>
      </c>
    </row>
    <row r="19" spans="2:2" x14ac:dyDescent="0.2">
      <c r="B19" s="169" t="s">
        <v>316</v>
      </c>
    </row>
    <row r="20" spans="2:2" x14ac:dyDescent="0.2">
      <c r="B20" s="169" t="s">
        <v>317</v>
      </c>
    </row>
    <row r="21" spans="2:2" x14ac:dyDescent="0.2">
      <c r="B21" s="169" t="s">
        <v>318</v>
      </c>
    </row>
    <row r="22" spans="2:2" x14ac:dyDescent="0.2">
      <c r="B22" s="169" t="s">
        <v>319</v>
      </c>
    </row>
    <row r="23" spans="2:2" x14ac:dyDescent="0.2">
      <c r="B23" s="169" t="s">
        <v>320</v>
      </c>
    </row>
    <row r="24" spans="2:2" x14ac:dyDescent="0.2">
      <c r="B24" s="169" t="s">
        <v>321</v>
      </c>
    </row>
    <row r="25" spans="2:2" x14ac:dyDescent="0.2">
      <c r="B25" s="169" t="s">
        <v>322</v>
      </c>
    </row>
    <row r="26" spans="2:2" x14ac:dyDescent="0.2">
      <c r="B26" s="167"/>
    </row>
    <row r="27" spans="2:2" ht="18" x14ac:dyDescent="0.2">
      <c r="B27" s="168" t="s">
        <v>323</v>
      </c>
    </row>
    <row r="28" spans="2:2" ht="48" x14ac:dyDescent="0.2">
      <c r="B28" s="176" t="s">
        <v>324</v>
      </c>
    </row>
    <row r="29" spans="2:2" ht="32" x14ac:dyDescent="0.2">
      <c r="B29" s="177" t="s">
        <v>325</v>
      </c>
    </row>
    <row r="30" spans="2:2" ht="32" x14ac:dyDescent="0.2">
      <c r="B30" s="177" t="s">
        <v>326</v>
      </c>
    </row>
    <row r="31" spans="2:2" x14ac:dyDescent="0.2">
      <c r="B31" s="167"/>
    </row>
    <row r="32" spans="2:2" ht="18" x14ac:dyDescent="0.2">
      <c r="B32" s="168" t="s">
        <v>327</v>
      </c>
    </row>
    <row r="33" spans="2:5" x14ac:dyDescent="0.2">
      <c r="B33" s="171" t="s">
        <v>215</v>
      </c>
      <c r="C33" s="172" t="s">
        <v>216</v>
      </c>
      <c r="D33" s="172" t="s">
        <v>217</v>
      </c>
      <c r="E33" s="172" t="s">
        <v>218</v>
      </c>
    </row>
    <row r="34" spans="2:5" ht="17" x14ac:dyDescent="0.2">
      <c r="B34" s="173" t="s">
        <v>328</v>
      </c>
      <c r="C34" s="174">
        <f>PL_MODEL!G21</f>
        <v>2291.6258315770756</v>
      </c>
      <c r="D34" s="174">
        <f>PL_MODEL!H21</f>
        <v>2036.0725475569977</v>
      </c>
      <c r="E34" s="174">
        <f>PL_MODEL!K21</f>
        <v>2057.6324559877908</v>
      </c>
    </row>
    <row r="35" spans="2:5" ht="17" x14ac:dyDescent="0.2">
      <c r="B35" s="173" t="s">
        <v>329</v>
      </c>
      <c r="C35" s="175">
        <f>PL_MODEL!G24</f>
        <v>3.1847580906148849</v>
      </c>
      <c r="D35" s="175">
        <f>PL_MODEL!H24</f>
        <v>2.9027741100323623</v>
      </c>
      <c r="E35" s="175">
        <f>PL_MODEL!K24</f>
        <v>2.7367718446601943</v>
      </c>
    </row>
    <row r="36" spans="2:5" ht="17" x14ac:dyDescent="0.2">
      <c r="B36" s="173" t="s">
        <v>330</v>
      </c>
      <c r="C36" s="175">
        <f>PL_MODEL!G25</f>
        <v>19.030718584497933</v>
      </c>
      <c r="D36" s="175">
        <f>PL_MODEL!H25</f>
        <v>15.351102718077769</v>
      </c>
      <c r="E36" s="175">
        <f>PL_MODEL!K25</f>
        <v>12.226244611529596</v>
      </c>
    </row>
    <row r="37" spans="2:5" ht="17" x14ac:dyDescent="0.2">
      <c r="B37" s="173" t="s">
        <v>331</v>
      </c>
      <c r="C37" s="175">
        <f>PL_MODEL!G23</f>
        <v>34.956164215906973</v>
      </c>
      <c r="D37" s="175">
        <f>PL_MODEL!H23</f>
        <v>37.774588817089651</v>
      </c>
      <c r="E37" s="175">
        <f>PL_MODEL!K23</f>
        <v>39.212059179265971</v>
      </c>
    </row>
    <row r="38" spans="2:5" ht="17" x14ac:dyDescent="0.2">
      <c r="B38" s="173" t="s">
        <v>332</v>
      </c>
      <c r="C38" s="174">
        <f>BALANCE_SHEET!G5</f>
        <v>144927.53623188406</v>
      </c>
      <c r="D38" s="174">
        <f>BALANCE_SHEET!H5</f>
        <v>150000</v>
      </c>
      <c r="E38" s="174">
        <f>BALANCE_SHEET!K5</f>
        <v>166307.68124999999</v>
      </c>
    </row>
    <row r="39" spans="2:5" ht="17" x14ac:dyDescent="0.2">
      <c r="B39" s="173" t="s">
        <v>333</v>
      </c>
      <c r="C39" s="174">
        <f>BALANCE_SHEET!G17</f>
        <v>12041.719924563391</v>
      </c>
      <c r="D39" s="174">
        <f>BALANCE_SHEET!H17</f>
        <v>13263.363453097591</v>
      </c>
      <c r="E39" s="174">
        <f>BALANCE_SHEET!K17</f>
        <v>16829.635929641074</v>
      </c>
    </row>
    <row r="40" spans="2:5" x14ac:dyDescent="0.2">
      <c r="B40" s="167"/>
    </row>
    <row r="41" spans="2:5" ht="18" x14ac:dyDescent="0.2">
      <c r="B41" s="168" t="s">
        <v>334</v>
      </c>
    </row>
    <row r="42" spans="2:5" ht="48" x14ac:dyDescent="0.2">
      <c r="B42" s="176" t="s">
        <v>335</v>
      </c>
    </row>
    <row r="43" spans="2:5" x14ac:dyDescent="0.2">
      <c r="B43" s="167"/>
    </row>
    <row r="44" spans="2:5" ht="18" x14ac:dyDescent="0.2">
      <c r="B44" s="168" t="s">
        <v>336</v>
      </c>
    </row>
    <row r="45" spans="2:5" ht="32" x14ac:dyDescent="0.2">
      <c r="B45" s="176" t="s">
        <v>337</v>
      </c>
    </row>
    <row r="46" spans="2:5" x14ac:dyDescent="0.2">
      <c r="B46" s="167"/>
    </row>
    <row r="47" spans="2:5" ht="18" x14ac:dyDescent="0.2">
      <c r="B47" s="168" t="s">
        <v>338</v>
      </c>
    </row>
    <row r="48" spans="2:5" x14ac:dyDescent="0.2">
      <c r="B48" s="169" t="s">
        <v>339</v>
      </c>
    </row>
    <row r="49" spans="2:2" x14ac:dyDescent="0.2">
      <c r="B49" s="169" t="s">
        <v>340</v>
      </c>
    </row>
    <row r="50" spans="2:2" x14ac:dyDescent="0.2">
      <c r="B50" s="169" t="s">
        <v>341</v>
      </c>
    </row>
    <row r="51" spans="2:2" x14ac:dyDescent="0.2">
      <c r="B51" s="167"/>
    </row>
    <row r="52" spans="2:2" ht="18" x14ac:dyDescent="0.2">
      <c r="B52" s="168" t="s">
        <v>342</v>
      </c>
    </row>
    <row r="53" spans="2:2" ht="32" x14ac:dyDescent="0.2">
      <c r="B53" s="170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0DB4-CF76-0B4E-882A-BE02061DFE75}">
  <sheetPr>
    <tabColor theme="7" tint="-0.249977111117893"/>
  </sheetPr>
  <dimension ref="A1:J273"/>
  <sheetViews>
    <sheetView topLeftCell="A246" workbookViewId="0">
      <selection activeCell="D278" sqref="D278"/>
    </sheetView>
  </sheetViews>
  <sheetFormatPr baseColWidth="10" defaultRowHeight="16" x14ac:dyDescent="0.2"/>
  <cols>
    <col min="1" max="1" width="8.83203125" bestFit="1" customWidth="1"/>
    <col min="2" max="2" width="30.1640625" customWidth="1"/>
    <col min="3" max="3" width="29.5" bestFit="1" customWidth="1"/>
    <col min="4" max="4" width="24.83203125" customWidth="1"/>
    <col min="5" max="5" width="29.83203125" customWidth="1"/>
    <col min="6" max="7" width="25.33203125" bestFit="1" customWidth="1"/>
    <col min="8" max="8" width="26.33203125" bestFit="1" customWidth="1"/>
    <col min="9" max="9" width="21.33203125" bestFit="1" customWidth="1"/>
    <col min="10" max="10" width="24" bestFit="1" customWidth="1"/>
  </cols>
  <sheetData>
    <row r="1" spans="1:10" ht="3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40209</v>
      </c>
      <c r="B2">
        <v>0.5</v>
      </c>
      <c r="C2">
        <v>50435</v>
      </c>
      <c r="D2">
        <v>16.37</v>
      </c>
      <c r="E2">
        <v>3.97</v>
      </c>
      <c r="F2">
        <v>4.6399999999999997</v>
      </c>
      <c r="G2">
        <v>5.56</v>
      </c>
      <c r="I2">
        <v>3.54</v>
      </c>
      <c r="J2">
        <v>4.08</v>
      </c>
    </row>
    <row r="3" spans="1:10" x14ac:dyDescent="0.2">
      <c r="A3" s="1">
        <v>40237</v>
      </c>
      <c r="B3">
        <v>0.5</v>
      </c>
      <c r="C3">
        <v>50116</v>
      </c>
      <c r="D3">
        <v>16.52</v>
      </c>
      <c r="E3">
        <v>3.88</v>
      </c>
      <c r="F3">
        <v>4.68</v>
      </c>
      <c r="G3">
        <v>5.5</v>
      </c>
      <c r="I3">
        <v>3.52</v>
      </c>
      <c r="J3">
        <v>4.05</v>
      </c>
    </row>
    <row r="4" spans="1:10" x14ac:dyDescent="0.2">
      <c r="A4" s="1">
        <v>40268</v>
      </c>
      <c r="B4">
        <v>0.5</v>
      </c>
      <c r="C4">
        <v>51019</v>
      </c>
      <c r="D4">
        <v>16.53</v>
      </c>
      <c r="E4">
        <v>3.92</v>
      </c>
      <c r="F4">
        <v>4.68</v>
      </c>
      <c r="G4">
        <v>5.5</v>
      </c>
      <c r="I4">
        <v>3.53</v>
      </c>
      <c r="J4">
        <v>4.04</v>
      </c>
    </row>
    <row r="5" spans="1:10" x14ac:dyDescent="0.2">
      <c r="A5" s="1">
        <v>40298</v>
      </c>
      <c r="B5">
        <v>0.5</v>
      </c>
      <c r="C5">
        <v>51034</v>
      </c>
      <c r="D5">
        <v>16.510000000000002</v>
      </c>
      <c r="E5">
        <v>3.82</v>
      </c>
      <c r="F5">
        <v>4.6500000000000004</v>
      </c>
      <c r="G5">
        <v>5.5</v>
      </c>
      <c r="I5">
        <v>3.49</v>
      </c>
      <c r="J5">
        <v>3.99</v>
      </c>
    </row>
    <row r="6" spans="1:10" x14ac:dyDescent="0.2">
      <c r="A6" s="1">
        <v>40329</v>
      </c>
      <c r="B6">
        <v>0.5</v>
      </c>
      <c r="C6">
        <v>51529</v>
      </c>
      <c r="D6">
        <v>16.52</v>
      </c>
      <c r="E6">
        <v>3.78</v>
      </c>
      <c r="F6">
        <v>4.5599999999999996</v>
      </c>
      <c r="G6">
        <v>5.38</v>
      </c>
      <c r="I6">
        <v>3.43</v>
      </c>
      <c r="J6">
        <v>3.94</v>
      </c>
    </row>
    <row r="7" spans="1:10" x14ac:dyDescent="0.2">
      <c r="A7" s="1">
        <v>40359</v>
      </c>
      <c r="B7">
        <v>0.5</v>
      </c>
      <c r="C7">
        <v>51460</v>
      </c>
      <c r="D7">
        <v>16.7</v>
      </c>
      <c r="E7">
        <v>3.67</v>
      </c>
      <c r="F7">
        <v>4.46</v>
      </c>
      <c r="G7">
        <v>5.35</v>
      </c>
      <c r="I7">
        <v>3.37</v>
      </c>
      <c r="J7">
        <v>3.92</v>
      </c>
    </row>
    <row r="8" spans="1:10" x14ac:dyDescent="0.2">
      <c r="A8" s="1">
        <v>40390</v>
      </c>
      <c r="B8">
        <v>0.5</v>
      </c>
      <c r="C8">
        <v>50948</v>
      </c>
      <c r="D8">
        <v>16.7</v>
      </c>
      <c r="E8">
        <v>3.77</v>
      </c>
      <c r="F8">
        <v>4.45</v>
      </c>
      <c r="G8">
        <v>5.24</v>
      </c>
      <c r="I8">
        <v>3.37</v>
      </c>
      <c r="J8">
        <v>3.92</v>
      </c>
    </row>
    <row r="9" spans="1:10" x14ac:dyDescent="0.2">
      <c r="A9" s="1">
        <v>40421</v>
      </c>
      <c r="B9">
        <v>0.5</v>
      </c>
      <c r="C9">
        <v>51313</v>
      </c>
      <c r="D9">
        <v>16.71</v>
      </c>
      <c r="E9">
        <v>3.74</v>
      </c>
      <c r="F9">
        <v>4.3600000000000003</v>
      </c>
      <c r="G9">
        <v>5.07</v>
      </c>
      <c r="I9">
        <v>3.29</v>
      </c>
      <c r="J9">
        <v>3.94</v>
      </c>
    </row>
    <row r="10" spans="1:10" x14ac:dyDescent="0.2">
      <c r="A10" s="1">
        <v>40451</v>
      </c>
      <c r="B10">
        <v>0.5</v>
      </c>
      <c r="C10">
        <v>51285</v>
      </c>
      <c r="D10">
        <v>16.690000000000001</v>
      </c>
      <c r="E10">
        <v>3.8</v>
      </c>
      <c r="F10">
        <v>4.33</v>
      </c>
      <c r="G10">
        <v>5.04</v>
      </c>
      <c r="I10">
        <v>3.29</v>
      </c>
      <c r="J10">
        <v>3.93</v>
      </c>
    </row>
    <row r="11" spans="1:10" x14ac:dyDescent="0.2">
      <c r="A11" s="1">
        <v>40482</v>
      </c>
      <c r="B11">
        <v>0.5</v>
      </c>
      <c r="C11">
        <v>51559</v>
      </c>
      <c r="D11">
        <v>16.68</v>
      </c>
      <c r="E11">
        <v>3.68</v>
      </c>
      <c r="F11">
        <v>4.24</v>
      </c>
      <c r="G11">
        <v>4.8600000000000003</v>
      </c>
      <c r="I11">
        <v>3.2</v>
      </c>
      <c r="J11">
        <v>3.91</v>
      </c>
    </row>
    <row r="12" spans="1:10" x14ac:dyDescent="0.2">
      <c r="A12" s="1">
        <v>40512</v>
      </c>
      <c r="B12">
        <v>0.5</v>
      </c>
      <c r="C12">
        <v>51629</v>
      </c>
      <c r="D12">
        <v>16.68</v>
      </c>
      <c r="E12">
        <v>3.53</v>
      </c>
      <c r="F12">
        <v>4.1500000000000004</v>
      </c>
      <c r="G12">
        <v>4.7300000000000004</v>
      </c>
      <c r="I12">
        <v>3.1</v>
      </c>
      <c r="J12">
        <v>3.91</v>
      </c>
    </row>
    <row r="13" spans="1:10" x14ac:dyDescent="0.2">
      <c r="A13" s="1">
        <v>40543</v>
      </c>
      <c r="B13">
        <v>0.5</v>
      </c>
      <c r="C13">
        <v>51322</v>
      </c>
      <c r="D13">
        <v>16.66</v>
      </c>
      <c r="E13">
        <v>3.5</v>
      </c>
      <c r="F13">
        <v>4.1500000000000004</v>
      </c>
      <c r="G13">
        <v>4.76</v>
      </c>
      <c r="I13">
        <v>3.1</v>
      </c>
      <c r="J13">
        <v>3.91</v>
      </c>
    </row>
    <row r="14" spans="1:10" x14ac:dyDescent="0.2">
      <c r="A14" s="1">
        <v>40574</v>
      </c>
      <c r="B14">
        <v>0.5</v>
      </c>
      <c r="C14">
        <v>52446</v>
      </c>
      <c r="D14">
        <v>16.8</v>
      </c>
      <c r="E14">
        <v>3.7</v>
      </c>
      <c r="F14">
        <v>4.3</v>
      </c>
      <c r="G14">
        <v>5.03</v>
      </c>
      <c r="I14">
        <v>3.26</v>
      </c>
      <c r="J14">
        <v>4.04</v>
      </c>
    </row>
    <row r="15" spans="1:10" x14ac:dyDescent="0.2">
      <c r="A15" s="1">
        <v>40602</v>
      </c>
      <c r="B15">
        <v>0.5</v>
      </c>
      <c r="C15">
        <v>52603</v>
      </c>
      <c r="D15">
        <v>16.690000000000001</v>
      </c>
      <c r="E15">
        <v>3.7</v>
      </c>
      <c r="F15">
        <v>4.47</v>
      </c>
      <c r="G15">
        <v>5.15</v>
      </c>
      <c r="I15">
        <v>3.33</v>
      </c>
      <c r="J15">
        <v>4.07</v>
      </c>
    </row>
    <row r="16" spans="1:10" x14ac:dyDescent="0.2">
      <c r="A16" s="1">
        <v>40633</v>
      </c>
      <c r="B16">
        <v>0.5</v>
      </c>
      <c r="C16">
        <v>52674</v>
      </c>
      <c r="D16">
        <v>16.66</v>
      </c>
      <c r="E16">
        <v>3.68</v>
      </c>
      <c r="F16">
        <v>4.4400000000000004</v>
      </c>
      <c r="G16">
        <v>5.0999999999999996</v>
      </c>
      <c r="I16">
        <v>3.31</v>
      </c>
      <c r="J16">
        <v>4.07</v>
      </c>
    </row>
    <row r="17" spans="1:10" x14ac:dyDescent="0.2">
      <c r="A17" s="1">
        <v>40663</v>
      </c>
      <c r="B17">
        <v>0.5</v>
      </c>
      <c r="C17">
        <v>53279</v>
      </c>
      <c r="D17">
        <v>16.72</v>
      </c>
      <c r="E17">
        <v>3.66</v>
      </c>
      <c r="F17">
        <v>4.43</v>
      </c>
      <c r="G17">
        <v>5.0999999999999996</v>
      </c>
      <c r="I17">
        <v>3.3</v>
      </c>
      <c r="J17">
        <v>4</v>
      </c>
    </row>
    <row r="18" spans="1:10" x14ac:dyDescent="0.2">
      <c r="A18" s="1">
        <v>40694</v>
      </c>
      <c r="B18">
        <v>0.5</v>
      </c>
      <c r="C18">
        <v>53287</v>
      </c>
      <c r="D18">
        <v>16.73</v>
      </c>
      <c r="E18">
        <v>3.51</v>
      </c>
      <c r="F18">
        <v>4.34</v>
      </c>
      <c r="G18">
        <v>5.0199999999999996</v>
      </c>
      <c r="I18">
        <v>3.22</v>
      </c>
      <c r="J18">
        <v>4</v>
      </c>
    </row>
    <row r="19" spans="1:10" x14ac:dyDescent="0.2">
      <c r="A19" s="1">
        <v>40724</v>
      </c>
      <c r="B19">
        <v>0.5</v>
      </c>
      <c r="C19">
        <v>53426</v>
      </c>
      <c r="D19">
        <v>16.73</v>
      </c>
      <c r="E19">
        <v>3.36</v>
      </c>
      <c r="F19">
        <v>4.3099999999999996</v>
      </c>
      <c r="G19">
        <v>4.9000000000000004</v>
      </c>
      <c r="I19">
        <v>3.14</v>
      </c>
      <c r="J19">
        <v>4.05</v>
      </c>
    </row>
    <row r="20" spans="1:10" x14ac:dyDescent="0.2">
      <c r="A20" s="1">
        <v>40755</v>
      </c>
      <c r="B20">
        <v>0.5</v>
      </c>
      <c r="C20">
        <v>53718</v>
      </c>
      <c r="D20">
        <v>16.72</v>
      </c>
      <c r="E20">
        <v>3.14</v>
      </c>
      <c r="F20">
        <v>4.13</v>
      </c>
      <c r="G20">
        <v>4.6900000000000004</v>
      </c>
      <c r="I20">
        <v>2.99</v>
      </c>
      <c r="J20">
        <v>4.0999999999999996</v>
      </c>
    </row>
    <row r="21" spans="1:10" x14ac:dyDescent="0.2">
      <c r="A21" s="1">
        <v>40786</v>
      </c>
      <c r="B21">
        <v>0.5</v>
      </c>
      <c r="C21">
        <v>54159</v>
      </c>
      <c r="D21">
        <v>16.73</v>
      </c>
      <c r="E21">
        <v>3</v>
      </c>
      <c r="F21">
        <v>3.82</v>
      </c>
      <c r="G21">
        <v>4.51</v>
      </c>
      <c r="I21">
        <v>2.83</v>
      </c>
      <c r="J21">
        <v>4.1100000000000003</v>
      </c>
    </row>
    <row r="22" spans="1:10" x14ac:dyDescent="0.2">
      <c r="A22" s="1">
        <v>40816</v>
      </c>
      <c r="B22">
        <v>0.5</v>
      </c>
      <c r="C22">
        <v>54190</v>
      </c>
      <c r="D22">
        <v>16.72</v>
      </c>
      <c r="E22">
        <v>2.92</v>
      </c>
      <c r="F22">
        <v>3.58</v>
      </c>
      <c r="G22">
        <v>3.98</v>
      </c>
      <c r="I22">
        <v>2.62</v>
      </c>
      <c r="J22">
        <v>4.12</v>
      </c>
    </row>
    <row r="23" spans="1:10" x14ac:dyDescent="0.2">
      <c r="A23" s="1">
        <v>40847</v>
      </c>
      <c r="B23">
        <v>0.5</v>
      </c>
      <c r="C23">
        <v>54709</v>
      </c>
      <c r="D23">
        <v>16.73</v>
      </c>
      <c r="E23">
        <v>3.04</v>
      </c>
      <c r="F23">
        <v>3.6</v>
      </c>
      <c r="G23">
        <v>4</v>
      </c>
      <c r="I23">
        <v>2.66</v>
      </c>
      <c r="J23">
        <v>4.1399999999999997</v>
      </c>
    </row>
    <row r="24" spans="1:10" x14ac:dyDescent="0.2">
      <c r="A24" s="1">
        <v>40877</v>
      </c>
      <c r="B24">
        <v>0.5</v>
      </c>
      <c r="C24">
        <v>54836</v>
      </c>
      <c r="D24">
        <v>16.93</v>
      </c>
      <c r="E24">
        <v>3.14</v>
      </c>
      <c r="F24">
        <v>3.64</v>
      </c>
      <c r="G24">
        <v>4.08</v>
      </c>
      <c r="I24">
        <v>2.72</v>
      </c>
      <c r="J24">
        <v>4.13</v>
      </c>
    </row>
    <row r="25" spans="1:10" x14ac:dyDescent="0.2">
      <c r="A25" s="1">
        <v>40908</v>
      </c>
      <c r="B25">
        <v>0.5</v>
      </c>
      <c r="C25">
        <v>53975</v>
      </c>
      <c r="D25">
        <v>17.29</v>
      </c>
      <c r="E25">
        <v>3.22</v>
      </c>
      <c r="F25">
        <v>3.63</v>
      </c>
      <c r="G25">
        <v>4.0599999999999996</v>
      </c>
      <c r="I25">
        <v>2.73</v>
      </c>
      <c r="J25">
        <v>4.12</v>
      </c>
    </row>
    <row r="26" spans="1:10" x14ac:dyDescent="0.2">
      <c r="A26" s="1">
        <v>40939</v>
      </c>
      <c r="B26">
        <v>0.5</v>
      </c>
      <c r="C26">
        <v>54999</v>
      </c>
      <c r="D26">
        <v>17.32</v>
      </c>
      <c r="E26">
        <v>3.27</v>
      </c>
      <c r="F26">
        <v>3.77</v>
      </c>
      <c r="G26">
        <v>4.18</v>
      </c>
      <c r="I26">
        <v>2.81</v>
      </c>
      <c r="J26">
        <v>4.18</v>
      </c>
    </row>
    <row r="27" spans="1:10" x14ac:dyDescent="0.2">
      <c r="A27" s="1">
        <v>40968</v>
      </c>
      <c r="B27">
        <v>0.5</v>
      </c>
      <c r="C27">
        <v>55262</v>
      </c>
      <c r="D27">
        <v>17.309999999999999</v>
      </c>
      <c r="E27">
        <v>3.37</v>
      </c>
      <c r="F27">
        <v>3.86</v>
      </c>
      <c r="G27">
        <v>4.17</v>
      </c>
      <c r="I27">
        <v>2.85</v>
      </c>
      <c r="J27">
        <v>4.1399999999999997</v>
      </c>
    </row>
    <row r="28" spans="1:10" x14ac:dyDescent="0.2">
      <c r="A28" s="1">
        <v>40999</v>
      </c>
      <c r="B28">
        <v>0.5</v>
      </c>
      <c r="C28">
        <v>55188</v>
      </c>
      <c r="D28">
        <v>17.309999999999999</v>
      </c>
      <c r="E28">
        <v>3.44</v>
      </c>
      <c r="F28">
        <v>3.91</v>
      </c>
      <c r="G28">
        <v>4.1900000000000004</v>
      </c>
      <c r="I28">
        <v>2.89</v>
      </c>
      <c r="J28">
        <v>4.0999999999999996</v>
      </c>
    </row>
    <row r="29" spans="1:10" x14ac:dyDescent="0.2">
      <c r="A29" s="1">
        <v>41029</v>
      </c>
      <c r="B29">
        <v>0.5</v>
      </c>
      <c r="C29">
        <v>55283</v>
      </c>
      <c r="D29">
        <v>17.25</v>
      </c>
      <c r="E29">
        <v>3.66</v>
      </c>
      <c r="F29">
        <v>4.03</v>
      </c>
      <c r="G29">
        <v>4.29</v>
      </c>
      <c r="I29">
        <v>3</v>
      </c>
      <c r="J29">
        <v>4.0999999999999996</v>
      </c>
    </row>
    <row r="30" spans="1:10" x14ac:dyDescent="0.2">
      <c r="A30" s="1">
        <v>41060</v>
      </c>
      <c r="B30">
        <v>0.5</v>
      </c>
      <c r="C30">
        <v>55551</v>
      </c>
      <c r="D30">
        <v>17.260000000000002</v>
      </c>
      <c r="E30">
        <v>3.68</v>
      </c>
      <c r="F30">
        <v>4.0999999999999996</v>
      </c>
      <c r="G30">
        <v>4.28</v>
      </c>
      <c r="I30">
        <v>3.02</v>
      </c>
      <c r="J30">
        <v>4.16</v>
      </c>
    </row>
    <row r="31" spans="1:10" x14ac:dyDescent="0.2">
      <c r="A31" s="1">
        <v>41090</v>
      </c>
      <c r="B31">
        <v>0.5</v>
      </c>
      <c r="C31">
        <v>56049</v>
      </c>
      <c r="D31">
        <v>17.25</v>
      </c>
      <c r="E31">
        <v>3.74</v>
      </c>
      <c r="F31">
        <v>4.09</v>
      </c>
      <c r="G31">
        <v>4.3</v>
      </c>
      <c r="I31">
        <v>3.03</v>
      </c>
      <c r="J31">
        <v>4.22</v>
      </c>
    </row>
    <row r="32" spans="1:10" x14ac:dyDescent="0.2">
      <c r="A32" s="1">
        <v>41121</v>
      </c>
      <c r="B32">
        <v>0.5</v>
      </c>
      <c r="C32">
        <v>56331</v>
      </c>
      <c r="D32">
        <v>17.260000000000002</v>
      </c>
      <c r="E32">
        <v>3.67</v>
      </c>
      <c r="F32">
        <v>3.97</v>
      </c>
      <c r="G32">
        <v>4.18</v>
      </c>
      <c r="I32">
        <v>2.96</v>
      </c>
      <c r="J32">
        <v>4.24</v>
      </c>
    </row>
    <row r="33" spans="1:10" x14ac:dyDescent="0.2">
      <c r="A33" s="1">
        <v>41152</v>
      </c>
      <c r="B33">
        <v>0.5</v>
      </c>
      <c r="C33">
        <v>56295</v>
      </c>
      <c r="D33">
        <v>17.260000000000002</v>
      </c>
      <c r="E33">
        <v>3.69</v>
      </c>
      <c r="F33">
        <v>4.01</v>
      </c>
      <c r="G33">
        <v>4.1100000000000003</v>
      </c>
      <c r="I33">
        <v>2.95</v>
      </c>
      <c r="J33">
        <v>4.2699999999999996</v>
      </c>
    </row>
    <row r="34" spans="1:10" x14ac:dyDescent="0.2">
      <c r="A34" s="1">
        <v>41182</v>
      </c>
      <c r="B34">
        <v>0.5</v>
      </c>
      <c r="C34">
        <v>56373</v>
      </c>
      <c r="D34">
        <v>17.25</v>
      </c>
      <c r="E34">
        <v>3.67</v>
      </c>
      <c r="F34">
        <v>4.05</v>
      </c>
      <c r="G34">
        <v>4.07</v>
      </c>
      <c r="I34">
        <v>2.95</v>
      </c>
      <c r="J34">
        <v>4.29</v>
      </c>
    </row>
    <row r="35" spans="1:10" x14ac:dyDescent="0.2">
      <c r="A35" s="1">
        <v>41213</v>
      </c>
      <c r="B35">
        <v>0.5</v>
      </c>
      <c r="C35">
        <v>56561</v>
      </c>
      <c r="D35">
        <v>17.329999999999998</v>
      </c>
      <c r="E35">
        <v>3.49</v>
      </c>
      <c r="F35">
        <v>3.88</v>
      </c>
      <c r="G35">
        <v>3.96</v>
      </c>
      <c r="I35">
        <v>2.83</v>
      </c>
      <c r="J35">
        <v>4.32</v>
      </c>
    </row>
    <row r="36" spans="1:10" x14ac:dyDescent="0.2">
      <c r="A36" s="1">
        <v>41243</v>
      </c>
      <c r="B36">
        <v>0.5</v>
      </c>
      <c r="C36">
        <v>56681</v>
      </c>
      <c r="D36">
        <v>17.32</v>
      </c>
      <c r="E36">
        <v>3.43</v>
      </c>
      <c r="F36">
        <v>3.75</v>
      </c>
      <c r="G36">
        <v>3.92</v>
      </c>
      <c r="I36">
        <v>2.78</v>
      </c>
      <c r="J36">
        <v>4.32</v>
      </c>
    </row>
    <row r="37" spans="1:10" x14ac:dyDescent="0.2">
      <c r="A37" s="1">
        <v>41274</v>
      </c>
      <c r="B37">
        <v>0.5</v>
      </c>
      <c r="C37">
        <v>57168</v>
      </c>
      <c r="D37">
        <v>17.329999999999998</v>
      </c>
      <c r="E37">
        <v>3.35</v>
      </c>
      <c r="F37">
        <v>3.67</v>
      </c>
      <c r="G37">
        <v>3.91</v>
      </c>
      <c r="I37">
        <v>2.73</v>
      </c>
      <c r="J37">
        <v>4.3499999999999996</v>
      </c>
    </row>
    <row r="38" spans="1:10" x14ac:dyDescent="0.2">
      <c r="A38" s="1">
        <v>41305</v>
      </c>
      <c r="B38">
        <v>0.5</v>
      </c>
      <c r="C38">
        <v>57395</v>
      </c>
      <c r="D38">
        <v>17.61</v>
      </c>
      <c r="E38">
        <v>3.11</v>
      </c>
      <c r="F38">
        <v>3.43</v>
      </c>
      <c r="G38">
        <v>3.71</v>
      </c>
      <c r="I38">
        <v>2.56</v>
      </c>
      <c r="J38">
        <v>4.38</v>
      </c>
    </row>
    <row r="39" spans="1:10" x14ac:dyDescent="0.2">
      <c r="A39" s="1">
        <v>41333</v>
      </c>
      <c r="B39">
        <v>0.5</v>
      </c>
      <c r="C39">
        <v>57734</v>
      </c>
      <c r="D39">
        <v>17.690000000000001</v>
      </c>
      <c r="E39">
        <v>2.92</v>
      </c>
      <c r="F39">
        <v>3.28</v>
      </c>
      <c r="G39">
        <v>3.62</v>
      </c>
      <c r="H39">
        <v>4.49</v>
      </c>
      <c r="I39">
        <v>3.58</v>
      </c>
      <c r="J39">
        <v>4.38</v>
      </c>
    </row>
    <row r="40" spans="1:10" x14ac:dyDescent="0.2">
      <c r="A40" s="1">
        <v>41364</v>
      </c>
      <c r="B40">
        <v>0.5</v>
      </c>
      <c r="C40">
        <v>57634</v>
      </c>
      <c r="D40">
        <v>17.690000000000001</v>
      </c>
      <c r="E40">
        <v>2.9</v>
      </c>
      <c r="F40">
        <v>3.3</v>
      </c>
      <c r="G40">
        <v>3.63</v>
      </c>
      <c r="I40">
        <v>2.46</v>
      </c>
      <c r="J40">
        <v>4.34</v>
      </c>
    </row>
    <row r="41" spans="1:10" x14ac:dyDescent="0.2">
      <c r="A41" s="1">
        <v>41394</v>
      </c>
      <c r="B41">
        <v>0.5</v>
      </c>
      <c r="C41">
        <v>58461</v>
      </c>
      <c r="D41">
        <v>17.71</v>
      </c>
      <c r="E41">
        <v>2.87</v>
      </c>
      <c r="F41">
        <v>2.98</v>
      </c>
      <c r="G41">
        <v>3.61</v>
      </c>
      <c r="I41">
        <v>2.37</v>
      </c>
      <c r="J41">
        <v>4.3499999999999996</v>
      </c>
    </row>
    <row r="42" spans="1:10" x14ac:dyDescent="0.2">
      <c r="A42" s="1">
        <v>41425</v>
      </c>
      <c r="B42">
        <v>0.5</v>
      </c>
      <c r="C42">
        <v>58931</v>
      </c>
      <c r="D42">
        <v>17.850000000000001</v>
      </c>
      <c r="E42">
        <v>2.69</v>
      </c>
      <c r="F42">
        <v>3</v>
      </c>
      <c r="G42">
        <v>3.44</v>
      </c>
      <c r="I42">
        <v>2.2799999999999998</v>
      </c>
      <c r="J42">
        <v>4.38</v>
      </c>
    </row>
    <row r="43" spans="1:10" x14ac:dyDescent="0.2">
      <c r="A43" s="1">
        <v>41455</v>
      </c>
      <c r="B43">
        <v>0.5</v>
      </c>
      <c r="C43">
        <v>59024</v>
      </c>
      <c r="D43">
        <v>17.84</v>
      </c>
      <c r="E43">
        <v>2.63</v>
      </c>
      <c r="F43">
        <v>2.95</v>
      </c>
      <c r="G43">
        <v>3.41</v>
      </c>
      <c r="I43">
        <v>2.25</v>
      </c>
      <c r="J43">
        <v>4.38</v>
      </c>
    </row>
    <row r="44" spans="1:10" x14ac:dyDescent="0.2">
      <c r="A44" s="1">
        <v>41486</v>
      </c>
      <c r="B44">
        <v>0.5</v>
      </c>
      <c r="C44">
        <v>59552</v>
      </c>
      <c r="D44">
        <v>17.89</v>
      </c>
      <c r="E44">
        <v>2.62</v>
      </c>
      <c r="F44">
        <v>2.96</v>
      </c>
      <c r="G44">
        <v>3.39</v>
      </c>
      <c r="I44">
        <v>2.2400000000000002</v>
      </c>
      <c r="J44">
        <v>4.37</v>
      </c>
    </row>
    <row r="45" spans="1:10" x14ac:dyDescent="0.2">
      <c r="A45" s="1">
        <v>41517</v>
      </c>
      <c r="B45">
        <v>0.5</v>
      </c>
      <c r="C45">
        <v>59462</v>
      </c>
      <c r="D45">
        <v>17.87</v>
      </c>
      <c r="E45">
        <v>2.58</v>
      </c>
      <c r="F45">
        <v>2.87</v>
      </c>
      <c r="G45">
        <v>3.35</v>
      </c>
      <c r="I45">
        <v>2.2000000000000002</v>
      </c>
      <c r="J45">
        <v>4.3600000000000003</v>
      </c>
    </row>
    <row r="46" spans="1:10" x14ac:dyDescent="0.2">
      <c r="A46" s="1">
        <v>41547</v>
      </c>
      <c r="B46">
        <v>0.5</v>
      </c>
      <c r="C46">
        <v>60214</v>
      </c>
      <c r="D46">
        <v>17.88</v>
      </c>
      <c r="E46">
        <v>2.54</v>
      </c>
      <c r="F46">
        <v>2.91</v>
      </c>
      <c r="G46">
        <v>3.4</v>
      </c>
      <c r="I46">
        <v>2.21</v>
      </c>
      <c r="J46">
        <v>4.3499999999999996</v>
      </c>
    </row>
    <row r="47" spans="1:10" x14ac:dyDescent="0.2">
      <c r="A47" s="1">
        <v>41578</v>
      </c>
      <c r="B47">
        <v>0.5</v>
      </c>
      <c r="C47">
        <v>59918</v>
      </c>
      <c r="D47">
        <v>17.88</v>
      </c>
      <c r="E47">
        <v>2.48</v>
      </c>
      <c r="F47">
        <v>2.89</v>
      </c>
      <c r="G47">
        <v>3.37</v>
      </c>
      <c r="I47">
        <v>2.19</v>
      </c>
      <c r="J47">
        <v>4.37</v>
      </c>
    </row>
    <row r="48" spans="1:10" x14ac:dyDescent="0.2">
      <c r="A48" s="1">
        <v>41608</v>
      </c>
      <c r="B48">
        <v>0.5</v>
      </c>
      <c r="C48">
        <v>59915</v>
      </c>
      <c r="D48">
        <v>18.13</v>
      </c>
      <c r="E48">
        <v>2.44</v>
      </c>
      <c r="F48">
        <v>2.91</v>
      </c>
      <c r="G48">
        <v>3.36</v>
      </c>
      <c r="I48">
        <v>2.1800000000000002</v>
      </c>
      <c r="J48">
        <v>4.41</v>
      </c>
    </row>
    <row r="49" spans="1:10" x14ac:dyDescent="0.2">
      <c r="A49" s="1">
        <v>41639</v>
      </c>
      <c r="B49">
        <v>0.5</v>
      </c>
      <c r="C49">
        <v>60314</v>
      </c>
      <c r="D49">
        <v>18.14</v>
      </c>
      <c r="E49">
        <v>2.4</v>
      </c>
      <c r="F49">
        <v>2.9</v>
      </c>
      <c r="G49">
        <v>3.34</v>
      </c>
      <c r="I49">
        <v>2.16</v>
      </c>
      <c r="J49">
        <v>4.3899999999999997</v>
      </c>
    </row>
    <row r="50" spans="1:10" x14ac:dyDescent="0.2">
      <c r="A50" s="1">
        <v>41670</v>
      </c>
      <c r="B50">
        <v>0.5</v>
      </c>
      <c r="C50">
        <v>60185</v>
      </c>
      <c r="D50">
        <v>18.170000000000002</v>
      </c>
      <c r="E50">
        <v>2.37</v>
      </c>
      <c r="F50">
        <v>2.93</v>
      </c>
      <c r="G50">
        <v>3.34</v>
      </c>
      <c r="I50">
        <v>2.16</v>
      </c>
      <c r="J50">
        <v>4.41</v>
      </c>
    </row>
    <row r="51" spans="1:10" x14ac:dyDescent="0.2">
      <c r="A51" s="1">
        <v>41698</v>
      </c>
      <c r="B51">
        <v>0.5</v>
      </c>
      <c r="C51">
        <v>60371</v>
      </c>
      <c r="D51">
        <v>18.309999999999999</v>
      </c>
      <c r="E51">
        <v>2.38</v>
      </c>
      <c r="F51">
        <v>2.96</v>
      </c>
      <c r="G51">
        <v>3.45</v>
      </c>
      <c r="I51">
        <v>2.2000000000000002</v>
      </c>
      <c r="J51">
        <v>4.43</v>
      </c>
    </row>
    <row r="52" spans="1:10" x14ac:dyDescent="0.2">
      <c r="A52" s="1">
        <v>41729</v>
      </c>
      <c r="B52">
        <v>0.5</v>
      </c>
      <c r="C52">
        <v>61393</v>
      </c>
      <c r="D52">
        <v>17.309999999999999</v>
      </c>
      <c r="E52">
        <v>2.37</v>
      </c>
      <c r="F52">
        <v>2.97</v>
      </c>
      <c r="G52">
        <v>3.48</v>
      </c>
      <c r="I52">
        <v>2.21</v>
      </c>
      <c r="J52">
        <v>4.43</v>
      </c>
    </row>
    <row r="53" spans="1:10" x14ac:dyDescent="0.2">
      <c r="A53" s="1">
        <v>41759</v>
      </c>
      <c r="B53">
        <v>0.5</v>
      </c>
      <c r="C53">
        <v>61174</v>
      </c>
      <c r="D53">
        <v>17.32</v>
      </c>
      <c r="E53">
        <v>2.54</v>
      </c>
      <c r="F53">
        <v>2.96</v>
      </c>
      <c r="G53">
        <v>3.69</v>
      </c>
      <c r="I53">
        <v>2.2999999999999998</v>
      </c>
      <c r="J53">
        <v>4.43</v>
      </c>
    </row>
    <row r="54" spans="1:10" x14ac:dyDescent="0.2">
      <c r="A54" s="1">
        <v>41790</v>
      </c>
      <c r="B54">
        <v>0.5</v>
      </c>
      <c r="C54">
        <v>61311</v>
      </c>
      <c r="D54">
        <v>17.37</v>
      </c>
      <c r="E54">
        <v>2.56</v>
      </c>
      <c r="F54">
        <v>2.99</v>
      </c>
      <c r="G54">
        <v>3.72</v>
      </c>
      <c r="I54">
        <v>2.3199999999999998</v>
      </c>
      <c r="J54">
        <v>4.42</v>
      </c>
    </row>
    <row r="55" spans="1:10" x14ac:dyDescent="0.2">
      <c r="A55" s="1">
        <v>41820</v>
      </c>
      <c r="B55">
        <v>0.5</v>
      </c>
      <c r="C55">
        <v>61973</v>
      </c>
      <c r="D55">
        <v>17.36</v>
      </c>
      <c r="E55">
        <v>2.6</v>
      </c>
      <c r="F55">
        <v>3.01</v>
      </c>
      <c r="G55">
        <v>3.69</v>
      </c>
      <c r="I55">
        <v>2.33</v>
      </c>
      <c r="J55">
        <v>4.3600000000000003</v>
      </c>
    </row>
    <row r="56" spans="1:10" x14ac:dyDescent="0.2">
      <c r="A56" s="1">
        <v>41851</v>
      </c>
      <c r="B56">
        <v>0.5</v>
      </c>
      <c r="C56">
        <v>62200</v>
      </c>
      <c r="D56">
        <v>17.37</v>
      </c>
      <c r="E56">
        <v>2.54</v>
      </c>
      <c r="F56">
        <v>3.02</v>
      </c>
      <c r="G56">
        <v>3.78</v>
      </c>
      <c r="I56">
        <v>2.34</v>
      </c>
      <c r="J56">
        <v>4.45</v>
      </c>
    </row>
    <row r="57" spans="1:10" x14ac:dyDescent="0.2">
      <c r="A57" s="1">
        <v>41882</v>
      </c>
      <c r="B57">
        <v>0.5</v>
      </c>
      <c r="C57">
        <v>62430</v>
      </c>
      <c r="D57">
        <v>17.39</v>
      </c>
      <c r="E57">
        <v>2.54</v>
      </c>
      <c r="F57">
        <v>3.01</v>
      </c>
      <c r="G57">
        <v>3.76</v>
      </c>
      <c r="H57">
        <v>4.3600000000000003</v>
      </c>
      <c r="I57">
        <v>3.42</v>
      </c>
      <c r="J57">
        <v>4.45</v>
      </c>
    </row>
    <row r="58" spans="1:10" x14ac:dyDescent="0.2">
      <c r="A58" s="1">
        <v>41912</v>
      </c>
      <c r="B58">
        <v>0.5</v>
      </c>
      <c r="C58">
        <v>63185</v>
      </c>
      <c r="D58">
        <v>17.47</v>
      </c>
      <c r="E58">
        <v>2.46</v>
      </c>
      <c r="F58">
        <v>2.94</v>
      </c>
      <c r="G58">
        <v>3.61</v>
      </c>
      <c r="H58">
        <v>4.0599999999999996</v>
      </c>
      <c r="I58">
        <v>3.27</v>
      </c>
      <c r="J58">
        <v>4.5199999999999996</v>
      </c>
    </row>
    <row r="59" spans="1:10" x14ac:dyDescent="0.2">
      <c r="A59" s="1">
        <v>41943</v>
      </c>
      <c r="B59">
        <v>0.5</v>
      </c>
      <c r="C59">
        <v>63007</v>
      </c>
      <c r="D59">
        <v>17.54</v>
      </c>
      <c r="E59">
        <v>2.21</v>
      </c>
      <c r="F59">
        <v>2.92</v>
      </c>
      <c r="G59">
        <v>3.27</v>
      </c>
      <c r="H59">
        <v>4.04</v>
      </c>
      <c r="I59">
        <v>3.11</v>
      </c>
      <c r="J59">
        <v>4.53</v>
      </c>
    </row>
    <row r="60" spans="1:10" x14ac:dyDescent="0.2">
      <c r="A60" s="1">
        <v>41973</v>
      </c>
      <c r="B60">
        <v>0.5</v>
      </c>
      <c r="C60">
        <v>63551</v>
      </c>
      <c r="D60">
        <v>17.809999999999999</v>
      </c>
      <c r="E60">
        <v>2.17</v>
      </c>
      <c r="F60">
        <v>2.89</v>
      </c>
      <c r="G60">
        <v>3.21</v>
      </c>
      <c r="H60">
        <v>4.04</v>
      </c>
      <c r="I60">
        <v>3.08</v>
      </c>
      <c r="J60">
        <v>4.49</v>
      </c>
    </row>
    <row r="61" spans="1:10" x14ac:dyDescent="0.2">
      <c r="A61" s="1">
        <v>42004</v>
      </c>
      <c r="B61">
        <v>0.5</v>
      </c>
      <c r="C61">
        <v>63607</v>
      </c>
      <c r="D61">
        <v>17.75</v>
      </c>
      <c r="E61">
        <v>2.08</v>
      </c>
      <c r="F61">
        <v>2.89</v>
      </c>
      <c r="G61">
        <v>3.21</v>
      </c>
      <c r="H61">
        <v>4</v>
      </c>
      <c r="I61">
        <v>3.05</v>
      </c>
      <c r="J61">
        <v>4.4800000000000004</v>
      </c>
    </row>
    <row r="62" spans="1:10" x14ac:dyDescent="0.2">
      <c r="A62" s="1">
        <v>42035</v>
      </c>
      <c r="B62">
        <v>0.5</v>
      </c>
      <c r="C62">
        <v>63712</v>
      </c>
      <c r="D62">
        <v>17.850000000000001</v>
      </c>
      <c r="E62">
        <v>2.0099999999999998</v>
      </c>
      <c r="F62">
        <v>2.86</v>
      </c>
      <c r="G62">
        <v>3.09</v>
      </c>
      <c r="H62">
        <v>3.95</v>
      </c>
      <c r="I62">
        <v>2.98</v>
      </c>
      <c r="J62">
        <v>4.5599999999999996</v>
      </c>
    </row>
    <row r="63" spans="1:10" x14ac:dyDescent="0.2">
      <c r="A63" s="1">
        <v>42063</v>
      </c>
      <c r="B63">
        <v>0.5</v>
      </c>
      <c r="C63">
        <v>63972</v>
      </c>
      <c r="D63">
        <v>17.850000000000001</v>
      </c>
      <c r="E63">
        <v>1.96</v>
      </c>
      <c r="F63">
        <v>2.62</v>
      </c>
      <c r="G63">
        <v>3.05</v>
      </c>
      <c r="H63">
        <v>3.67</v>
      </c>
      <c r="I63">
        <v>2.83</v>
      </c>
      <c r="J63">
        <v>4.51</v>
      </c>
    </row>
    <row r="64" spans="1:10" x14ac:dyDescent="0.2">
      <c r="A64" s="1">
        <v>42094</v>
      </c>
      <c r="B64">
        <v>0.5</v>
      </c>
      <c r="C64">
        <v>64772</v>
      </c>
      <c r="D64">
        <v>17.84</v>
      </c>
      <c r="E64">
        <v>1.99</v>
      </c>
      <c r="F64">
        <v>2.63</v>
      </c>
      <c r="G64">
        <v>2.98</v>
      </c>
      <c r="H64">
        <v>3.47</v>
      </c>
      <c r="I64">
        <v>2.77</v>
      </c>
      <c r="J64">
        <v>4.51</v>
      </c>
    </row>
    <row r="65" spans="1:10" x14ac:dyDescent="0.2">
      <c r="A65" s="1">
        <v>42124</v>
      </c>
      <c r="B65">
        <v>0.5</v>
      </c>
      <c r="C65">
        <v>64919</v>
      </c>
      <c r="D65">
        <v>17.850000000000001</v>
      </c>
      <c r="E65">
        <v>1.95</v>
      </c>
      <c r="F65">
        <v>2.57</v>
      </c>
      <c r="G65">
        <v>2.92</v>
      </c>
      <c r="H65">
        <v>3.49</v>
      </c>
      <c r="I65">
        <v>2.73</v>
      </c>
      <c r="J65">
        <v>4.53</v>
      </c>
    </row>
    <row r="66" spans="1:10" x14ac:dyDescent="0.2">
      <c r="A66" s="1">
        <v>42155</v>
      </c>
      <c r="B66">
        <v>0.5</v>
      </c>
      <c r="C66">
        <v>64819</v>
      </c>
      <c r="D66">
        <v>17.87</v>
      </c>
      <c r="E66">
        <v>1.9</v>
      </c>
      <c r="F66">
        <v>2.56</v>
      </c>
      <c r="G66">
        <v>2.86</v>
      </c>
      <c r="H66">
        <v>3.28</v>
      </c>
      <c r="I66">
        <v>2.65</v>
      </c>
      <c r="J66">
        <v>4.55</v>
      </c>
    </row>
    <row r="67" spans="1:10" x14ac:dyDescent="0.2">
      <c r="A67" s="1">
        <v>42185</v>
      </c>
      <c r="B67">
        <v>0.5</v>
      </c>
      <c r="C67">
        <v>65412</v>
      </c>
      <c r="D67">
        <v>17.84</v>
      </c>
      <c r="E67">
        <v>1.83</v>
      </c>
      <c r="F67">
        <v>2.54</v>
      </c>
      <c r="G67">
        <v>2.82</v>
      </c>
      <c r="H67">
        <v>3.24</v>
      </c>
      <c r="I67">
        <v>2.61</v>
      </c>
      <c r="J67">
        <v>4.49</v>
      </c>
    </row>
    <row r="68" spans="1:10" x14ac:dyDescent="0.2">
      <c r="A68" s="1">
        <v>42216</v>
      </c>
      <c r="B68">
        <v>0.5</v>
      </c>
      <c r="C68">
        <v>65270</v>
      </c>
      <c r="D68">
        <v>17.899999999999999</v>
      </c>
      <c r="E68">
        <v>1.87</v>
      </c>
      <c r="F68">
        <v>2.54</v>
      </c>
      <c r="G68">
        <v>2.83</v>
      </c>
      <c r="H68">
        <v>3.34</v>
      </c>
      <c r="I68">
        <v>2.65</v>
      </c>
      <c r="J68">
        <v>4.5</v>
      </c>
    </row>
    <row r="69" spans="1:10" x14ac:dyDescent="0.2">
      <c r="A69" s="1">
        <v>42247</v>
      </c>
      <c r="B69">
        <v>0.5</v>
      </c>
      <c r="C69">
        <v>65739</v>
      </c>
      <c r="D69">
        <v>17.91</v>
      </c>
      <c r="E69">
        <v>1.95</v>
      </c>
      <c r="F69">
        <v>2.5499999999999998</v>
      </c>
      <c r="G69">
        <v>2.92</v>
      </c>
      <c r="H69">
        <v>3.33</v>
      </c>
      <c r="I69">
        <v>2.69</v>
      </c>
      <c r="J69">
        <v>4.4800000000000004</v>
      </c>
    </row>
    <row r="70" spans="1:10" x14ac:dyDescent="0.2">
      <c r="A70" s="1">
        <v>42277</v>
      </c>
      <c r="B70">
        <v>0.5</v>
      </c>
      <c r="C70">
        <v>66144</v>
      </c>
      <c r="D70">
        <v>17.93</v>
      </c>
      <c r="E70">
        <v>1.91</v>
      </c>
      <c r="F70">
        <v>2.4</v>
      </c>
      <c r="G70">
        <v>2.84</v>
      </c>
      <c r="H70">
        <v>3.35</v>
      </c>
      <c r="I70">
        <v>2.63</v>
      </c>
      <c r="J70">
        <v>4.5</v>
      </c>
    </row>
    <row r="71" spans="1:10" x14ac:dyDescent="0.2">
      <c r="A71" s="1">
        <v>42308</v>
      </c>
      <c r="B71">
        <v>0.5</v>
      </c>
      <c r="C71">
        <v>66200</v>
      </c>
      <c r="D71">
        <v>17.95</v>
      </c>
      <c r="E71">
        <v>1.87</v>
      </c>
      <c r="F71">
        <v>2.2999999999999998</v>
      </c>
      <c r="G71">
        <v>2.78</v>
      </c>
      <c r="H71">
        <v>3.29</v>
      </c>
      <c r="I71">
        <v>2.56</v>
      </c>
      <c r="J71">
        <v>4.54</v>
      </c>
    </row>
    <row r="72" spans="1:10" x14ac:dyDescent="0.2">
      <c r="A72" s="1">
        <v>42338</v>
      </c>
      <c r="B72">
        <v>0.5</v>
      </c>
      <c r="C72">
        <v>67023</v>
      </c>
      <c r="D72">
        <v>17.940000000000001</v>
      </c>
      <c r="E72">
        <v>1.92</v>
      </c>
      <c r="F72">
        <v>2.27</v>
      </c>
      <c r="G72">
        <v>2.77</v>
      </c>
      <c r="H72">
        <v>3.37</v>
      </c>
      <c r="I72">
        <v>2.58</v>
      </c>
      <c r="J72">
        <v>4.49</v>
      </c>
    </row>
    <row r="73" spans="1:10" x14ac:dyDescent="0.2">
      <c r="A73" s="1">
        <v>42369</v>
      </c>
      <c r="B73">
        <v>0.5</v>
      </c>
      <c r="C73">
        <v>67302</v>
      </c>
      <c r="D73">
        <v>17.93</v>
      </c>
      <c r="E73">
        <v>1.9</v>
      </c>
      <c r="F73">
        <v>2.2599999999999998</v>
      </c>
      <c r="G73">
        <v>2.75</v>
      </c>
      <c r="H73">
        <v>3.36</v>
      </c>
      <c r="I73">
        <v>2.57</v>
      </c>
      <c r="J73">
        <v>4.49</v>
      </c>
    </row>
    <row r="74" spans="1:10" x14ac:dyDescent="0.2">
      <c r="A74" s="1">
        <v>42400</v>
      </c>
      <c r="B74">
        <v>0.5</v>
      </c>
      <c r="C74">
        <v>67559</v>
      </c>
      <c r="D74">
        <v>17.96</v>
      </c>
      <c r="E74">
        <v>1.93</v>
      </c>
      <c r="F74">
        <v>2.19</v>
      </c>
      <c r="G74">
        <v>2.68</v>
      </c>
      <c r="H74">
        <v>3.27</v>
      </c>
      <c r="I74">
        <v>2.52</v>
      </c>
      <c r="J74">
        <v>4.5599999999999996</v>
      </c>
    </row>
    <row r="75" spans="1:10" x14ac:dyDescent="0.2">
      <c r="A75" s="1">
        <v>42429</v>
      </c>
      <c r="B75">
        <v>0.5</v>
      </c>
      <c r="C75">
        <v>68512</v>
      </c>
      <c r="D75">
        <v>17.940000000000001</v>
      </c>
      <c r="E75">
        <v>1.95</v>
      </c>
      <c r="F75">
        <v>2.14</v>
      </c>
      <c r="G75">
        <v>2.73</v>
      </c>
      <c r="H75">
        <v>3.2</v>
      </c>
      <c r="I75">
        <v>2.5099999999999998</v>
      </c>
      <c r="J75">
        <v>4.58</v>
      </c>
    </row>
    <row r="76" spans="1:10" x14ac:dyDescent="0.2">
      <c r="A76" s="1">
        <v>42460</v>
      </c>
      <c r="B76">
        <v>0.5</v>
      </c>
      <c r="C76">
        <v>68613</v>
      </c>
      <c r="D76">
        <v>17.940000000000001</v>
      </c>
      <c r="E76">
        <v>1.9</v>
      </c>
      <c r="F76">
        <v>2.14</v>
      </c>
      <c r="G76">
        <v>2.7</v>
      </c>
      <c r="H76">
        <v>3.19</v>
      </c>
      <c r="I76">
        <v>2.48</v>
      </c>
      <c r="J76">
        <v>4.57</v>
      </c>
    </row>
    <row r="77" spans="1:10" x14ac:dyDescent="0.2">
      <c r="A77" s="1">
        <v>42490</v>
      </c>
      <c r="B77">
        <v>0.5</v>
      </c>
      <c r="C77">
        <v>69376</v>
      </c>
      <c r="D77">
        <v>17.96</v>
      </c>
      <c r="E77">
        <v>1.84</v>
      </c>
      <c r="F77">
        <v>2.13</v>
      </c>
      <c r="G77">
        <v>2.71</v>
      </c>
      <c r="H77">
        <v>3.12</v>
      </c>
      <c r="I77">
        <v>2.4500000000000002</v>
      </c>
      <c r="J77">
        <v>4.6399999999999997</v>
      </c>
    </row>
    <row r="78" spans="1:10" x14ac:dyDescent="0.2">
      <c r="A78" s="1">
        <v>42521</v>
      </c>
      <c r="B78">
        <v>0.5</v>
      </c>
      <c r="C78">
        <v>70142</v>
      </c>
      <c r="D78">
        <v>17.93</v>
      </c>
      <c r="E78">
        <v>1.91</v>
      </c>
      <c r="F78">
        <v>2.12</v>
      </c>
      <c r="G78">
        <v>2.64</v>
      </c>
      <c r="H78">
        <v>3.15</v>
      </c>
      <c r="I78">
        <v>2.46</v>
      </c>
      <c r="J78">
        <v>4.5599999999999996</v>
      </c>
    </row>
    <row r="79" spans="1:10" x14ac:dyDescent="0.2">
      <c r="A79" s="1">
        <v>42551</v>
      </c>
      <c r="B79">
        <v>0.5</v>
      </c>
      <c r="C79">
        <v>69955</v>
      </c>
      <c r="D79">
        <v>17.940000000000001</v>
      </c>
      <c r="E79">
        <v>1.75</v>
      </c>
      <c r="F79">
        <v>2.13</v>
      </c>
      <c r="G79">
        <v>2.54</v>
      </c>
      <c r="H79">
        <v>3.1</v>
      </c>
      <c r="I79">
        <v>2.38</v>
      </c>
      <c r="J79">
        <v>4.5199999999999996</v>
      </c>
    </row>
    <row r="80" spans="1:10" x14ac:dyDescent="0.2">
      <c r="A80" s="1">
        <v>42582</v>
      </c>
      <c r="B80">
        <v>0.5</v>
      </c>
      <c r="C80">
        <v>70265</v>
      </c>
      <c r="D80">
        <v>17.96</v>
      </c>
      <c r="E80">
        <v>1.72</v>
      </c>
      <c r="F80">
        <v>2.09</v>
      </c>
      <c r="G80">
        <v>2.5099999999999998</v>
      </c>
      <c r="H80">
        <v>3.05</v>
      </c>
      <c r="I80">
        <v>2.34</v>
      </c>
      <c r="J80">
        <v>4.55</v>
      </c>
    </row>
    <row r="81" spans="1:10" x14ac:dyDescent="0.2">
      <c r="A81" s="1">
        <v>42613</v>
      </c>
      <c r="B81">
        <v>0.28000000000000003</v>
      </c>
      <c r="C81">
        <v>71224</v>
      </c>
      <c r="D81">
        <v>17.93</v>
      </c>
      <c r="E81">
        <v>1.69</v>
      </c>
      <c r="F81">
        <v>2.02</v>
      </c>
      <c r="G81">
        <v>2.39</v>
      </c>
      <c r="H81">
        <v>3.04</v>
      </c>
      <c r="I81">
        <v>2.29</v>
      </c>
      <c r="J81">
        <v>4.3</v>
      </c>
    </row>
    <row r="82" spans="1:10" x14ac:dyDescent="0.2">
      <c r="A82" s="1">
        <v>42643</v>
      </c>
      <c r="B82">
        <v>0.25</v>
      </c>
      <c r="C82">
        <v>71423</v>
      </c>
      <c r="D82">
        <v>17.940000000000001</v>
      </c>
      <c r="E82">
        <v>1.59</v>
      </c>
      <c r="F82">
        <v>1.92</v>
      </c>
      <c r="G82">
        <v>2.34</v>
      </c>
      <c r="H82">
        <v>2.84</v>
      </c>
      <c r="I82">
        <v>2.17</v>
      </c>
      <c r="J82">
        <v>4.24</v>
      </c>
    </row>
    <row r="83" spans="1:10" x14ac:dyDescent="0.2">
      <c r="A83" s="1">
        <v>42674</v>
      </c>
      <c r="B83">
        <v>0.25</v>
      </c>
      <c r="C83">
        <v>72520</v>
      </c>
      <c r="D83">
        <v>17.95</v>
      </c>
      <c r="E83">
        <v>1.52</v>
      </c>
      <c r="F83">
        <v>1.83</v>
      </c>
      <c r="G83">
        <v>2.27</v>
      </c>
      <c r="H83">
        <v>2.75</v>
      </c>
      <c r="I83">
        <v>2.09</v>
      </c>
      <c r="J83">
        <v>4.24</v>
      </c>
    </row>
    <row r="84" spans="1:10" x14ac:dyDescent="0.2">
      <c r="A84" s="1">
        <v>42704</v>
      </c>
      <c r="B84">
        <v>0.25</v>
      </c>
      <c r="C84">
        <v>72823</v>
      </c>
      <c r="D84">
        <v>17.96</v>
      </c>
      <c r="E84">
        <v>1.43</v>
      </c>
      <c r="F84">
        <v>1.79</v>
      </c>
      <c r="G84">
        <v>2.25</v>
      </c>
      <c r="H84">
        <v>2.78</v>
      </c>
      <c r="I84">
        <v>2.06</v>
      </c>
      <c r="J84">
        <v>4.28</v>
      </c>
    </row>
    <row r="85" spans="1:10" x14ac:dyDescent="0.2">
      <c r="A85" s="1">
        <v>42735</v>
      </c>
      <c r="B85">
        <v>0.25</v>
      </c>
      <c r="C85">
        <v>72758</v>
      </c>
      <c r="D85">
        <v>17.96</v>
      </c>
      <c r="E85">
        <v>1.45</v>
      </c>
      <c r="F85">
        <v>1.79</v>
      </c>
      <c r="G85">
        <v>2.2599999999999998</v>
      </c>
      <c r="H85">
        <v>2.98</v>
      </c>
      <c r="I85">
        <v>2.12</v>
      </c>
      <c r="J85">
        <v>4.2300000000000004</v>
      </c>
    </row>
    <row r="86" spans="1:10" x14ac:dyDescent="0.2">
      <c r="A86" s="1">
        <v>42766</v>
      </c>
      <c r="B86">
        <v>0.25</v>
      </c>
      <c r="C86">
        <v>73952</v>
      </c>
      <c r="D86">
        <v>17.96</v>
      </c>
      <c r="E86">
        <v>1.45</v>
      </c>
      <c r="F86">
        <v>1.75</v>
      </c>
      <c r="G86">
        <v>2.2200000000000002</v>
      </c>
      <c r="H86">
        <v>2.93</v>
      </c>
      <c r="I86">
        <v>2.09</v>
      </c>
      <c r="J86">
        <v>4.49</v>
      </c>
    </row>
    <row r="87" spans="1:10" x14ac:dyDescent="0.2">
      <c r="A87" s="1">
        <v>42794</v>
      </c>
      <c r="B87">
        <v>0.25</v>
      </c>
      <c r="C87">
        <v>74055</v>
      </c>
      <c r="D87">
        <v>17.96</v>
      </c>
      <c r="E87">
        <v>1.42</v>
      </c>
      <c r="F87">
        <v>1.7</v>
      </c>
      <c r="G87">
        <v>2.2000000000000002</v>
      </c>
      <c r="H87">
        <v>2.91</v>
      </c>
      <c r="I87">
        <v>2.06</v>
      </c>
      <c r="J87">
        <v>4.37</v>
      </c>
    </row>
    <row r="88" spans="1:10" x14ac:dyDescent="0.2">
      <c r="A88" s="1">
        <v>42825</v>
      </c>
      <c r="B88">
        <v>0.25</v>
      </c>
      <c r="C88">
        <v>74172</v>
      </c>
      <c r="D88">
        <v>17.96</v>
      </c>
      <c r="E88">
        <v>1.37</v>
      </c>
      <c r="F88">
        <v>1.68</v>
      </c>
      <c r="G88">
        <v>2.15</v>
      </c>
      <c r="H88">
        <v>2.8</v>
      </c>
      <c r="I88">
        <v>2</v>
      </c>
      <c r="J88">
        <v>4.28</v>
      </c>
    </row>
    <row r="89" spans="1:10" x14ac:dyDescent="0.2">
      <c r="A89" s="1">
        <v>42855</v>
      </c>
      <c r="B89">
        <v>0.25</v>
      </c>
      <c r="C89">
        <v>74003</v>
      </c>
      <c r="D89">
        <v>17.97</v>
      </c>
      <c r="E89">
        <v>1.35</v>
      </c>
      <c r="F89">
        <v>1.65</v>
      </c>
      <c r="G89">
        <v>2.09</v>
      </c>
      <c r="H89">
        <v>2.78</v>
      </c>
      <c r="I89">
        <v>1.97</v>
      </c>
      <c r="J89">
        <v>4.54</v>
      </c>
    </row>
    <row r="90" spans="1:10" x14ac:dyDescent="0.2">
      <c r="A90" s="1">
        <v>42886</v>
      </c>
      <c r="B90">
        <v>0.25</v>
      </c>
      <c r="C90">
        <v>74248</v>
      </c>
      <c r="D90">
        <v>17.89</v>
      </c>
      <c r="E90">
        <v>1.49</v>
      </c>
      <c r="F90">
        <v>1.73</v>
      </c>
      <c r="G90">
        <v>2.0299999999999998</v>
      </c>
      <c r="H90">
        <v>2.83</v>
      </c>
      <c r="I90">
        <v>2.02</v>
      </c>
      <c r="J90">
        <v>4.2300000000000004</v>
      </c>
    </row>
    <row r="91" spans="1:10" x14ac:dyDescent="0.2">
      <c r="A91" s="1">
        <v>42916</v>
      </c>
      <c r="B91">
        <v>0.25</v>
      </c>
      <c r="C91">
        <v>74058</v>
      </c>
      <c r="D91">
        <v>17.96</v>
      </c>
      <c r="E91">
        <v>1.48</v>
      </c>
      <c r="F91">
        <v>1.7</v>
      </c>
      <c r="G91">
        <v>1.99</v>
      </c>
      <c r="H91">
        <v>2.82</v>
      </c>
      <c r="I91">
        <v>2</v>
      </c>
      <c r="J91">
        <v>4.28</v>
      </c>
    </row>
    <row r="92" spans="1:10" x14ac:dyDescent="0.2">
      <c r="A92" s="1">
        <v>42947</v>
      </c>
      <c r="B92">
        <v>0.25</v>
      </c>
      <c r="C92">
        <v>74507</v>
      </c>
      <c r="D92">
        <v>17.96</v>
      </c>
      <c r="E92">
        <v>1.41</v>
      </c>
      <c r="F92">
        <v>1.81</v>
      </c>
      <c r="G92">
        <v>1.97</v>
      </c>
      <c r="H92">
        <v>2.77</v>
      </c>
      <c r="I92">
        <v>1.99</v>
      </c>
      <c r="J92">
        <v>4.51</v>
      </c>
    </row>
    <row r="93" spans="1:10" x14ac:dyDescent="0.2">
      <c r="A93" s="1">
        <v>42978</v>
      </c>
      <c r="B93">
        <v>0.25</v>
      </c>
      <c r="C93">
        <v>74669</v>
      </c>
      <c r="D93">
        <v>17.96</v>
      </c>
      <c r="E93">
        <v>1.43</v>
      </c>
      <c r="F93">
        <v>1.62</v>
      </c>
      <c r="G93">
        <v>1.96</v>
      </c>
      <c r="H93">
        <v>2.77</v>
      </c>
      <c r="I93">
        <v>1.95</v>
      </c>
      <c r="J93">
        <v>4.32</v>
      </c>
    </row>
    <row r="94" spans="1:10" x14ac:dyDescent="0.2">
      <c r="A94" s="1">
        <v>43008</v>
      </c>
      <c r="B94">
        <v>0.25</v>
      </c>
      <c r="C94">
        <v>74369</v>
      </c>
      <c r="D94">
        <v>17.97</v>
      </c>
      <c r="E94">
        <v>1.4</v>
      </c>
      <c r="F94">
        <v>1.6</v>
      </c>
      <c r="G94">
        <v>1.9</v>
      </c>
      <c r="H94">
        <v>2.72</v>
      </c>
      <c r="I94">
        <v>1.91</v>
      </c>
      <c r="J94">
        <v>4.3099999999999996</v>
      </c>
    </row>
    <row r="95" spans="1:10" x14ac:dyDescent="0.2">
      <c r="A95" s="1">
        <v>43039</v>
      </c>
      <c r="B95">
        <v>0.25</v>
      </c>
      <c r="C95">
        <v>74482</v>
      </c>
      <c r="D95">
        <v>17.95</v>
      </c>
      <c r="E95">
        <v>1.55</v>
      </c>
      <c r="F95">
        <v>1.7</v>
      </c>
      <c r="G95">
        <v>2.04</v>
      </c>
      <c r="H95">
        <v>2.67</v>
      </c>
      <c r="I95">
        <v>1.99</v>
      </c>
      <c r="J95">
        <v>4.3099999999999996</v>
      </c>
    </row>
    <row r="96" spans="1:10" x14ac:dyDescent="0.2">
      <c r="A96" s="1">
        <v>43069</v>
      </c>
      <c r="B96">
        <v>0.49</v>
      </c>
      <c r="C96">
        <v>74257</v>
      </c>
      <c r="D96">
        <v>17.96</v>
      </c>
      <c r="E96">
        <v>1.61</v>
      </c>
      <c r="F96">
        <v>1.68</v>
      </c>
      <c r="G96">
        <v>2.04</v>
      </c>
      <c r="H96">
        <v>2.67</v>
      </c>
      <c r="I96">
        <v>2</v>
      </c>
      <c r="J96">
        <v>4.34</v>
      </c>
    </row>
    <row r="97" spans="1:10" x14ac:dyDescent="0.2">
      <c r="A97" s="1">
        <v>43100</v>
      </c>
      <c r="B97">
        <v>0.5</v>
      </c>
      <c r="C97">
        <v>73772</v>
      </c>
      <c r="D97">
        <v>17.95</v>
      </c>
      <c r="E97">
        <v>1.57</v>
      </c>
      <c r="F97">
        <v>1.7</v>
      </c>
      <c r="G97">
        <v>2.0699999999999998</v>
      </c>
      <c r="H97">
        <v>2.66</v>
      </c>
      <c r="I97">
        <v>2</v>
      </c>
      <c r="J97">
        <v>4.54</v>
      </c>
    </row>
    <row r="98" spans="1:10" x14ac:dyDescent="0.2">
      <c r="A98" s="1">
        <v>43131</v>
      </c>
      <c r="B98">
        <v>0.5</v>
      </c>
      <c r="C98">
        <v>74244</v>
      </c>
      <c r="D98">
        <v>17.920000000000002</v>
      </c>
      <c r="E98">
        <v>1.54</v>
      </c>
      <c r="F98">
        <v>1.7</v>
      </c>
      <c r="G98">
        <v>1.98</v>
      </c>
      <c r="H98">
        <v>2.66</v>
      </c>
      <c r="I98">
        <v>1.97</v>
      </c>
      <c r="J98">
        <v>4.21</v>
      </c>
    </row>
    <row r="99" spans="1:10" x14ac:dyDescent="0.2">
      <c r="A99" s="1">
        <v>43159</v>
      </c>
      <c r="B99">
        <v>0.5</v>
      </c>
      <c r="C99">
        <v>74061</v>
      </c>
      <c r="D99">
        <v>17.920000000000002</v>
      </c>
      <c r="E99">
        <v>1.49</v>
      </c>
      <c r="F99">
        <v>1.75</v>
      </c>
      <c r="G99">
        <v>1.99</v>
      </c>
      <c r="H99">
        <v>2.71</v>
      </c>
      <c r="I99">
        <v>1.99</v>
      </c>
      <c r="J99">
        <v>4.2300000000000004</v>
      </c>
    </row>
    <row r="100" spans="1:10" x14ac:dyDescent="0.2">
      <c r="A100" s="1">
        <v>43190</v>
      </c>
      <c r="B100">
        <v>0.5</v>
      </c>
      <c r="C100">
        <v>73710</v>
      </c>
      <c r="D100">
        <v>17.920000000000002</v>
      </c>
      <c r="E100">
        <v>1.53</v>
      </c>
      <c r="F100">
        <v>1.77</v>
      </c>
      <c r="G100">
        <v>2.02</v>
      </c>
      <c r="H100">
        <v>2.76</v>
      </c>
      <c r="I100">
        <v>2.02</v>
      </c>
      <c r="J100">
        <v>4.1399999999999997</v>
      </c>
    </row>
    <row r="101" spans="1:10" x14ac:dyDescent="0.2">
      <c r="A101" s="1">
        <v>43220</v>
      </c>
      <c r="B101">
        <v>0.5</v>
      </c>
      <c r="C101">
        <v>73484</v>
      </c>
      <c r="D101">
        <v>18.260000000000002</v>
      </c>
      <c r="E101">
        <v>1.72</v>
      </c>
      <c r="F101">
        <v>1.81</v>
      </c>
      <c r="G101">
        <v>2.0099999999999998</v>
      </c>
      <c r="H101">
        <v>2.78</v>
      </c>
      <c r="I101">
        <v>2.08</v>
      </c>
      <c r="J101">
        <v>4.17</v>
      </c>
    </row>
    <row r="102" spans="1:10" x14ac:dyDescent="0.2">
      <c r="A102" s="1">
        <v>43251</v>
      </c>
      <c r="B102">
        <v>0.5</v>
      </c>
      <c r="C102">
        <v>73894</v>
      </c>
      <c r="D102">
        <v>18.239999999999998</v>
      </c>
      <c r="E102">
        <v>1.74</v>
      </c>
      <c r="F102">
        <v>1.83</v>
      </c>
      <c r="G102">
        <v>2.06</v>
      </c>
      <c r="H102">
        <v>2.76</v>
      </c>
      <c r="I102">
        <v>2.1</v>
      </c>
      <c r="J102">
        <v>4.16</v>
      </c>
    </row>
    <row r="103" spans="1:10" x14ac:dyDescent="0.2">
      <c r="A103" s="1">
        <v>43281</v>
      </c>
      <c r="B103">
        <v>0.5</v>
      </c>
      <c r="C103">
        <v>73780</v>
      </c>
      <c r="D103">
        <v>18.260000000000002</v>
      </c>
      <c r="E103">
        <v>1.74</v>
      </c>
      <c r="F103">
        <v>1.8</v>
      </c>
      <c r="G103">
        <v>2.0299999999999998</v>
      </c>
      <c r="H103">
        <v>2.74</v>
      </c>
      <c r="I103">
        <v>2.08</v>
      </c>
      <c r="J103">
        <v>4.0599999999999996</v>
      </c>
    </row>
    <row r="104" spans="1:10" x14ac:dyDescent="0.2">
      <c r="A104" s="1">
        <v>43312</v>
      </c>
      <c r="B104">
        <v>0.5</v>
      </c>
      <c r="C104">
        <v>74483</v>
      </c>
      <c r="D104">
        <v>18.350000000000001</v>
      </c>
      <c r="E104">
        <v>1.75</v>
      </c>
      <c r="F104">
        <v>1.82</v>
      </c>
      <c r="G104">
        <v>2.04</v>
      </c>
      <c r="H104">
        <v>2.76</v>
      </c>
      <c r="I104">
        <v>2.09</v>
      </c>
      <c r="J104">
        <v>4.0999999999999996</v>
      </c>
    </row>
    <row r="105" spans="1:10" x14ac:dyDescent="0.2">
      <c r="A105" s="1">
        <v>43343</v>
      </c>
      <c r="B105">
        <v>0.74</v>
      </c>
      <c r="C105">
        <v>73811</v>
      </c>
      <c r="D105">
        <v>18.47</v>
      </c>
      <c r="E105">
        <v>1.75</v>
      </c>
      <c r="F105">
        <v>1.82</v>
      </c>
      <c r="G105">
        <v>2.0299999999999998</v>
      </c>
      <c r="H105">
        <v>2.7</v>
      </c>
      <c r="I105">
        <v>2.08</v>
      </c>
      <c r="J105">
        <v>4.3499999999999996</v>
      </c>
    </row>
    <row r="106" spans="1:10" x14ac:dyDescent="0.2">
      <c r="A106" s="1">
        <v>43373</v>
      </c>
      <c r="B106">
        <v>0.75</v>
      </c>
      <c r="C106">
        <v>73713</v>
      </c>
      <c r="D106">
        <v>18.46</v>
      </c>
      <c r="E106">
        <v>1.71</v>
      </c>
      <c r="F106">
        <v>1.81</v>
      </c>
      <c r="G106">
        <v>2.0099999999999998</v>
      </c>
      <c r="H106">
        <v>2.68</v>
      </c>
      <c r="I106">
        <v>2.0499999999999998</v>
      </c>
      <c r="J106">
        <v>4.3899999999999997</v>
      </c>
    </row>
    <row r="107" spans="1:10" x14ac:dyDescent="0.2">
      <c r="A107" s="1">
        <v>43404</v>
      </c>
      <c r="B107">
        <v>0.75</v>
      </c>
      <c r="C107">
        <v>74453</v>
      </c>
      <c r="D107">
        <v>18.38</v>
      </c>
      <c r="E107">
        <v>1.8</v>
      </c>
      <c r="F107">
        <v>1.85</v>
      </c>
      <c r="G107">
        <v>2.06</v>
      </c>
      <c r="H107">
        <v>2.72</v>
      </c>
      <c r="I107">
        <v>2.11</v>
      </c>
      <c r="J107">
        <v>4.45</v>
      </c>
    </row>
    <row r="108" spans="1:10" x14ac:dyDescent="0.2">
      <c r="A108" s="1">
        <v>43434</v>
      </c>
      <c r="B108">
        <v>0.75</v>
      </c>
      <c r="C108">
        <v>73701</v>
      </c>
      <c r="D108">
        <v>18.690000000000001</v>
      </c>
      <c r="E108">
        <v>1.75</v>
      </c>
      <c r="F108">
        <v>1.82</v>
      </c>
      <c r="G108">
        <v>2.02</v>
      </c>
      <c r="H108">
        <v>2.67</v>
      </c>
      <c r="I108">
        <v>2.0699999999999998</v>
      </c>
      <c r="J108">
        <v>4.41</v>
      </c>
    </row>
    <row r="109" spans="1:10" x14ac:dyDescent="0.2">
      <c r="A109" s="1">
        <v>43465</v>
      </c>
      <c r="B109">
        <v>0.75</v>
      </c>
      <c r="C109">
        <v>74485</v>
      </c>
      <c r="D109">
        <v>18.66</v>
      </c>
      <c r="E109">
        <v>1.73</v>
      </c>
      <c r="F109">
        <v>1.81</v>
      </c>
      <c r="G109">
        <v>2.0099999999999998</v>
      </c>
      <c r="H109">
        <v>2.64</v>
      </c>
      <c r="I109">
        <v>2.0499999999999998</v>
      </c>
      <c r="J109">
        <v>4.4000000000000004</v>
      </c>
    </row>
    <row r="110" spans="1:10" x14ac:dyDescent="0.2">
      <c r="A110" s="1">
        <v>43496</v>
      </c>
      <c r="B110">
        <v>0.75</v>
      </c>
      <c r="C110">
        <v>74201</v>
      </c>
      <c r="D110">
        <v>18.670000000000002</v>
      </c>
      <c r="E110">
        <v>1.72</v>
      </c>
      <c r="F110">
        <v>1.8</v>
      </c>
      <c r="G110">
        <v>2.0499999999999998</v>
      </c>
      <c r="H110">
        <v>2.66</v>
      </c>
      <c r="I110">
        <v>2.06</v>
      </c>
      <c r="J110">
        <v>4.4800000000000004</v>
      </c>
    </row>
    <row r="111" spans="1:10" x14ac:dyDescent="0.2">
      <c r="A111" s="1">
        <v>43524</v>
      </c>
      <c r="B111">
        <v>0.75</v>
      </c>
      <c r="C111">
        <v>74262</v>
      </c>
      <c r="D111">
        <v>19.73</v>
      </c>
      <c r="E111">
        <v>1.7</v>
      </c>
      <c r="F111">
        <v>1.8</v>
      </c>
      <c r="G111">
        <v>2.0499999999999998</v>
      </c>
      <c r="H111">
        <v>2.5499999999999998</v>
      </c>
      <c r="I111">
        <v>2.0299999999999998</v>
      </c>
      <c r="J111">
        <v>4.3099999999999996</v>
      </c>
    </row>
    <row r="112" spans="1:10" x14ac:dyDescent="0.2">
      <c r="A112" s="1">
        <v>43555</v>
      </c>
      <c r="B112">
        <v>0.75</v>
      </c>
      <c r="C112">
        <v>73888</v>
      </c>
      <c r="D112">
        <v>19.829999999999998</v>
      </c>
      <c r="E112">
        <v>1.7</v>
      </c>
      <c r="F112">
        <v>1.8</v>
      </c>
      <c r="G112">
        <v>2.0299999999999998</v>
      </c>
      <c r="H112">
        <v>2.56</v>
      </c>
      <c r="I112">
        <v>2.02</v>
      </c>
      <c r="J112">
        <v>4.3099999999999996</v>
      </c>
    </row>
    <row r="113" spans="1:10" x14ac:dyDescent="0.2">
      <c r="A113" s="1">
        <v>43585</v>
      </c>
      <c r="B113">
        <v>0.75</v>
      </c>
      <c r="C113">
        <v>74431</v>
      </c>
      <c r="D113">
        <v>19.920000000000002</v>
      </c>
      <c r="E113">
        <v>1.66</v>
      </c>
      <c r="F113">
        <v>1.79</v>
      </c>
      <c r="G113">
        <v>2</v>
      </c>
      <c r="H113">
        <v>2.5499999999999998</v>
      </c>
      <c r="I113">
        <v>2</v>
      </c>
      <c r="J113">
        <v>4.3099999999999996</v>
      </c>
    </row>
    <row r="114" spans="1:10" x14ac:dyDescent="0.2">
      <c r="A114" s="1">
        <v>43616</v>
      </c>
      <c r="B114">
        <v>0.75</v>
      </c>
      <c r="C114">
        <v>73496</v>
      </c>
      <c r="D114">
        <v>20</v>
      </c>
      <c r="E114">
        <v>1.65</v>
      </c>
      <c r="F114">
        <v>1.79</v>
      </c>
      <c r="G114">
        <v>1.99</v>
      </c>
      <c r="H114">
        <v>2.57</v>
      </c>
      <c r="I114">
        <v>2</v>
      </c>
      <c r="J114">
        <v>4.29</v>
      </c>
    </row>
    <row r="115" spans="1:10" x14ac:dyDescent="0.2">
      <c r="A115" s="1">
        <v>43646</v>
      </c>
      <c r="B115">
        <v>0.75</v>
      </c>
      <c r="C115">
        <v>74016</v>
      </c>
      <c r="D115">
        <v>19.989999999999998</v>
      </c>
      <c r="E115">
        <v>1.64</v>
      </c>
      <c r="F115">
        <v>1.77</v>
      </c>
      <c r="G115">
        <v>1.97</v>
      </c>
      <c r="H115">
        <v>2.59</v>
      </c>
      <c r="I115">
        <v>1.99</v>
      </c>
      <c r="J115">
        <v>4.29</v>
      </c>
    </row>
    <row r="116" spans="1:10" x14ac:dyDescent="0.2">
      <c r="A116" s="1">
        <v>43677</v>
      </c>
      <c r="B116">
        <v>0.75</v>
      </c>
      <c r="C116">
        <v>74965</v>
      </c>
      <c r="D116">
        <v>20.010000000000002</v>
      </c>
      <c r="E116">
        <v>1.61</v>
      </c>
      <c r="F116">
        <v>1.74</v>
      </c>
      <c r="G116">
        <v>1.93</v>
      </c>
      <c r="H116">
        <v>2.57</v>
      </c>
      <c r="I116">
        <v>1.96</v>
      </c>
      <c r="J116">
        <v>4.29</v>
      </c>
    </row>
    <row r="117" spans="1:10" x14ac:dyDescent="0.2">
      <c r="A117" s="1">
        <v>43708</v>
      </c>
      <c r="B117">
        <v>0.75</v>
      </c>
      <c r="C117">
        <v>75006</v>
      </c>
      <c r="D117">
        <v>20.010000000000002</v>
      </c>
      <c r="E117">
        <v>1.59</v>
      </c>
      <c r="F117">
        <v>1.73</v>
      </c>
      <c r="G117">
        <v>1.89</v>
      </c>
      <c r="H117">
        <v>2.58</v>
      </c>
      <c r="I117">
        <v>1.95</v>
      </c>
      <c r="J117">
        <v>4.29</v>
      </c>
    </row>
    <row r="118" spans="1:10" x14ac:dyDescent="0.2">
      <c r="A118" s="1">
        <v>43738</v>
      </c>
      <c r="B118">
        <v>0.75</v>
      </c>
      <c r="C118">
        <v>75985</v>
      </c>
      <c r="D118">
        <v>20.010000000000002</v>
      </c>
      <c r="E118">
        <v>1.55</v>
      </c>
      <c r="F118">
        <v>1.66</v>
      </c>
      <c r="G118">
        <v>1.79</v>
      </c>
      <c r="H118">
        <v>2.58</v>
      </c>
      <c r="I118">
        <v>1.9</v>
      </c>
      <c r="J118">
        <v>4.29</v>
      </c>
    </row>
    <row r="119" spans="1:10" x14ac:dyDescent="0.2">
      <c r="A119" s="1">
        <v>43769</v>
      </c>
      <c r="B119">
        <v>0.75</v>
      </c>
      <c r="C119">
        <v>75706</v>
      </c>
      <c r="D119">
        <v>19.62</v>
      </c>
      <c r="E119">
        <v>1.47</v>
      </c>
      <c r="F119">
        <v>1.62</v>
      </c>
      <c r="G119">
        <v>1.71</v>
      </c>
      <c r="H119">
        <v>2.5099999999999998</v>
      </c>
      <c r="I119">
        <v>1.83</v>
      </c>
      <c r="J119">
        <v>4.2699999999999996</v>
      </c>
    </row>
    <row r="120" spans="1:10" x14ac:dyDescent="0.2">
      <c r="A120" s="1">
        <v>43799</v>
      </c>
      <c r="B120">
        <v>0.75</v>
      </c>
      <c r="C120">
        <v>75421</v>
      </c>
      <c r="D120">
        <v>20.329999999999998</v>
      </c>
      <c r="E120">
        <v>1.41</v>
      </c>
      <c r="F120">
        <v>1.57</v>
      </c>
      <c r="G120">
        <v>1.67</v>
      </c>
      <c r="H120">
        <v>2.4900000000000002</v>
      </c>
      <c r="I120">
        <v>1.79</v>
      </c>
      <c r="J120">
        <v>4.2699999999999996</v>
      </c>
    </row>
    <row r="121" spans="1:10" x14ac:dyDescent="0.2">
      <c r="A121" s="1">
        <v>43830</v>
      </c>
      <c r="B121">
        <v>0.75</v>
      </c>
      <c r="C121">
        <v>76293</v>
      </c>
      <c r="D121">
        <v>20.77</v>
      </c>
      <c r="E121">
        <v>1.42</v>
      </c>
      <c r="F121">
        <v>1.54</v>
      </c>
      <c r="G121">
        <v>1.67</v>
      </c>
      <c r="H121">
        <v>2.4700000000000002</v>
      </c>
      <c r="I121">
        <v>1.78</v>
      </c>
      <c r="J121">
        <v>4.2699999999999996</v>
      </c>
    </row>
    <row r="122" spans="1:10" x14ac:dyDescent="0.2">
      <c r="A122" s="1">
        <v>43861</v>
      </c>
      <c r="B122">
        <v>0.75</v>
      </c>
      <c r="C122">
        <v>75152</v>
      </c>
      <c r="D122">
        <v>20.77</v>
      </c>
      <c r="E122">
        <v>1.41</v>
      </c>
      <c r="F122">
        <v>1.57</v>
      </c>
      <c r="G122">
        <v>1.68</v>
      </c>
      <c r="H122">
        <v>2.42</v>
      </c>
      <c r="I122">
        <v>1.77</v>
      </c>
      <c r="J122">
        <v>4.2699999999999996</v>
      </c>
    </row>
    <row r="123" spans="1:10" x14ac:dyDescent="0.2">
      <c r="A123" s="1">
        <v>43890</v>
      </c>
      <c r="B123">
        <v>0.75</v>
      </c>
      <c r="C123">
        <v>75301</v>
      </c>
      <c r="D123">
        <v>20.77</v>
      </c>
      <c r="E123">
        <v>1.4</v>
      </c>
      <c r="F123">
        <v>1.56</v>
      </c>
      <c r="G123">
        <v>1.67</v>
      </c>
      <c r="H123">
        <v>2.38</v>
      </c>
      <c r="I123">
        <v>1.75</v>
      </c>
      <c r="J123">
        <v>4.26</v>
      </c>
    </row>
    <row r="124" spans="1:10" x14ac:dyDescent="0.2">
      <c r="A124" s="1">
        <v>43921</v>
      </c>
      <c r="B124">
        <v>0.35</v>
      </c>
      <c r="C124">
        <v>76144</v>
      </c>
      <c r="D124">
        <v>20.78</v>
      </c>
      <c r="E124">
        <v>1.4</v>
      </c>
      <c r="F124">
        <v>1.56</v>
      </c>
      <c r="G124">
        <v>1.66</v>
      </c>
      <c r="H124">
        <v>2.36</v>
      </c>
      <c r="I124">
        <v>1.75</v>
      </c>
      <c r="J124">
        <v>4.0999999999999996</v>
      </c>
    </row>
    <row r="125" spans="1:10" x14ac:dyDescent="0.2">
      <c r="A125" s="1">
        <v>43951</v>
      </c>
      <c r="B125">
        <v>0.1</v>
      </c>
      <c r="C125">
        <v>77172</v>
      </c>
      <c r="D125">
        <v>20.63</v>
      </c>
      <c r="E125">
        <v>1.38</v>
      </c>
      <c r="F125">
        <v>1.59</v>
      </c>
      <c r="G125">
        <v>1.67</v>
      </c>
      <c r="H125">
        <v>2.42</v>
      </c>
      <c r="I125">
        <v>1.77</v>
      </c>
      <c r="J125">
        <v>3.66</v>
      </c>
    </row>
    <row r="126" spans="1:10" x14ac:dyDescent="0.2">
      <c r="A126" s="1">
        <v>43982</v>
      </c>
      <c r="B126">
        <v>0.1</v>
      </c>
      <c r="C126">
        <v>78384</v>
      </c>
      <c r="D126">
        <v>20.58</v>
      </c>
      <c r="E126">
        <v>1.42</v>
      </c>
      <c r="F126">
        <v>1.64</v>
      </c>
      <c r="G126">
        <v>1.7</v>
      </c>
      <c r="H126">
        <v>2.4</v>
      </c>
      <c r="I126">
        <v>1.79</v>
      </c>
      <c r="J126">
        <v>3.65</v>
      </c>
    </row>
    <row r="127" spans="1:10" x14ac:dyDescent="0.2">
      <c r="A127" s="1">
        <v>44012</v>
      </c>
      <c r="B127">
        <v>0.1</v>
      </c>
      <c r="C127">
        <v>81806</v>
      </c>
      <c r="D127">
        <v>20.54</v>
      </c>
      <c r="E127">
        <v>1.41</v>
      </c>
      <c r="F127">
        <v>1.62</v>
      </c>
      <c r="G127">
        <v>1.69</v>
      </c>
      <c r="H127">
        <v>2.4</v>
      </c>
      <c r="I127">
        <v>1.78</v>
      </c>
      <c r="J127">
        <v>3.65</v>
      </c>
    </row>
    <row r="128" spans="1:10" x14ac:dyDescent="0.2">
      <c r="A128" s="1">
        <v>44043</v>
      </c>
      <c r="B128">
        <v>0.1</v>
      </c>
      <c r="C128">
        <v>81953</v>
      </c>
      <c r="D128">
        <v>20.56</v>
      </c>
      <c r="E128">
        <v>1.45</v>
      </c>
      <c r="F128">
        <v>1.67</v>
      </c>
      <c r="G128">
        <v>1.7</v>
      </c>
      <c r="H128">
        <v>2.3199999999999998</v>
      </c>
      <c r="I128">
        <v>1.79</v>
      </c>
      <c r="J128">
        <v>3.66</v>
      </c>
    </row>
    <row r="129" spans="1:10" x14ac:dyDescent="0.2">
      <c r="A129" s="1">
        <v>44074</v>
      </c>
      <c r="B129">
        <v>0.1</v>
      </c>
      <c r="C129">
        <v>81955</v>
      </c>
      <c r="D129">
        <v>20.56</v>
      </c>
      <c r="E129">
        <v>1.6</v>
      </c>
      <c r="F129">
        <v>1.83</v>
      </c>
      <c r="G129">
        <v>1.79</v>
      </c>
      <c r="H129">
        <v>2.3199999999999998</v>
      </c>
      <c r="I129">
        <v>1.89</v>
      </c>
      <c r="J129">
        <v>3.65</v>
      </c>
    </row>
    <row r="130" spans="1:10" x14ac:dyDescent="0.2">
      <c r="A130" s="1">
        <v>44104</v>
      </c>
      <c r="B130">
        <v>0.1</v>
      </c>
      <c r="C130">
        <v>84109</v>
      </c>
      <c r="D130">
        <v>20.72</v>
      </c>
      <c r="E130">
        <v>1.75</v>
      </c>
      <c r="F130">
        <v>1.88</v>
      </c>
      <c r="G130">
        <v>1.92</v>
      </c>
      <c r="H130">
        <v>2.39</v>
      </c>
      <c r="I130">
        <v>1.99</v>
      </c>
      <c r="J130">
        <v>3.65</v>
      </c>
    </row>
    <row r="131" spans="1:10" x14ac:dyDescent="0.2">
      <c r="A131" s="1">
        <v>44135</v>
      </c>
      <c r="B131">
        <v>0.1</v>
      </c>
      <c r="C131">
        <v>83467</v>
      </c>
      <c r="D131">
        <v>20.91</v>
      </c>
      <c r="E131">
        <v>1.94</v>
      </c>
      <c r="F131">
        <v>2.0099999999999998</v>
      </c>
      <c r="G131">
        <v>2.0499999999999998</v>
      </c>
      <c r="H131">
        <v>2.46</v>
      </c>
      <c r="I131">
        <v>2.12</v>
      </c>
      <c r="J131">
        <v>3.64</v>
      </c>
    </row>
    <row r="132" spans="1:10" x14ac:dyDescent="0.2">
      <c r="A132" s="1">
        <v>44165</v>
      </c>
      <c r="B132">
        <v>0.1</v>
      </c>
      <c r="C132">
        <v>84303</v>
      </c>
      <c r="D132">
        <v>20.92</v>
      </c>
      <c r="E132">
        <v>1.92</v>
      </c>
      <c r="F132">
        <v>2.0499999999999998</v>
      </c>
      <c r="G132">
        <v>2.0499999999999998</v>
      </c>
      <c r="H132">
        <v>2.52</v>
      </c>
      <c r="I132">
        <v>2.14</v>
      </c>
      <c r="J132">
        <v>3.62</v>
      </c>
    </row>
    <row r="133" spans="1:10" x14ac:dyDescent="0.2">
      <c r="A133" s="1">
        <v>44196</v>
      </c>
      <c r="B133">
        <v>0.1</v>
      </c>
      <c r="C133">
        <v>85338</v>
      </c>
      <c r="D133">
        <v>20.9</v>
      </c>
      <c r="E133">
        <v>1.86</v>
      </c>
      <c r="F133">
        <v>2.04</v>
      </c>
      <c r="G133">
        <v>2</v>
      </c>
      <c r="H133">
        <v>2.5299999999999998</v>
      </c>
      <c r="I133">
        <v>2.11</v>
      </c>
      <c r="J133">
        <v>3.62</v>
      </c>
    </row>
    <row r="134" spans="1:10" x14ac:dyDescent="0.2">
      <c r="A134" s="1">
        <v>44227</v>
      </c>
      <c r="B134">
        <v>0.1</v>
      </c>
      <c r="C134">
        <v>85577</v>
      </c>
      <c r="D134">
        <v>20.99</v>
      </c>
      <c r="E134">
        <v>1.75</v>
      </c>
      <c r="F134">
        <v>2.1</v>
      </c>
      <c r="G134">
        <v>1.92</v>
      </c>
      <c r="H134">
        <v>2.54</v>
      </c>
      <c r="I134">
        <v>2.08</v>
      </c>
      <c r="J134">
        <v>3.62</v>
      </c>
    </row>
    <row r="135" spans="1:10" x14ac:dyDescent="0.2">
      <c r="A135" s="1">
        <v>44255</v>
      </c>
      <c r="B135">
        <v>0.1</v>
      </c>
      <c r="C135">
        <v>86239</v>
      </c>
      <c r="D135">
        <v>21.02</v>
      </c>
      <c r="E135">
        <v>1.61</v>
      </c>
      <c r="F135">
        <v>1.75</v>
      </c>
      <c r="G135">
        <v>1.8</v>
      </c>
      <c r="H135">
        <v>2.5499999999999998</v>
      </c>
      <c r="I135">
        <v>1.93</v>
      </c>
      <c r="J135">
        <v>3.62</v>
      </c>
    </row>
    <row r="136" spans="1:10" x14ac:dyDescent="0.2">
      <c r="A136" s="1">
        <v>44286</v>
      </c>
      <c r="B136">
        <v>0.1</v>
      </c>
      <c r="C136">
        <v>87854</v>
      </c>
      <c r="D136">
        <v>21.15</v>
      </c>
      <c r="E136">
        <v>1.56</v>
      </c>
      <c r="F136">
        <v>1.71</v>
      </c>
      <c r="G136">
        <v>1.74</v>
      </c>
      <c r="H136">
        <v>2.5499999999999998</v>
      </c>
      <c r="I136">
        <v>1.89</v>
      </c>
      <c r="J136">
        <v>3.62</v>
      </c>
    </row>
    <row r="137" spans="1:10" x14ac:dyDescent="0.2">
      <c r="A137" s="1">
        <v>44316</v>
      </c>
      <c r="B137">
        <v>0.1</v>
      </c>
      <c r="C137">
        <v>87980</v>
      </c>
      <c r="D137">
        <v>21.3</v>
      </c>
      <c r="E137">
        <v>1.49</v>
      </c>
      <c r="F137">
        <v>1.71</v>
      </c>
      <c r="G137">
        <v>1.71</v>
      </c>
      <c r="H137">
        <v>2.59</v>
      </c>
      <c r="I137">
        <v>1.88</v>
      </c>
      <c r="J137">
        <v>3.61</v>
      </c>
    </row>
    <row r="138" spans="1:10" x14ac:dyDescent="0.2">
      <c r="A138" s="1">
        <v>44347</v>
      </c>
      <c r="B138">
        <v>0.1</v>
      </c>
      <c r="C138">
        <v>87583</v>
      </c>
      <c r="D138">
        <v>21.49</v>
      </c>
      <c r="E138">
        <v>1.47</v>
      </c>
      <c r="F138">
        <v>1.71</v>
      </c>
      <c r="G138">
        <v>1.68</v>
      </c>
      <c r="H138">
        <v>2.59</v>
      </c>
      <c r="I138">
        <v>1.86</v>
      </c>
      <c r="J138">
        <v>3.61</v>
      </c>
    </row>
    <row r="139" spans="1:10" x14ac:dyDescent="0.2">
      <c r="A139" s="1">
        <v>44377</v>
      </c>
      <c r="B139">
        <v>0.1</v>
      </c>
      <c r="C139">
        <v>88834</v>
      </c>
      <c r="D139">
        <v>21.49</v>
      </c>
      <c r="E139">
        <v>1.39</v>
      </c>
      <c r="F139">
        <v>1.66</v>
      </c>
      <c r="G139">
        <v>1.6</v>
      </c>
      <c r="H139">
        <v>2.59</v>
      </c>
      <c r="I139">
        <v>1.81</v>
      </c>
      <c r="J139">
        <v>3.61</v>
      </c>
    </row>
    <row r="140" spans="1:10" x14ac:dyDescent="0.2">
      <c r="A140" s="1">
        <v>44408</v>
      </c>
      <c r="B140">
        <v>0.1</v>
      </c>
      <c r="C140">
        <v>87829</v>
      </c>
      <c r="D140">
        <v>21.49</v>
      </c>
      <c r="E140">
        <v>1.29</v>
      </c>
      <c r="F140">
        <v>1.51</v>
      </c>
      <c r="G140">
        <v>1.45</v>
      </c>
      <c r="H140">
        <v>2.58</v>
      </c>
      <c r="I140">
        <v>1.71</v>
      </c>
      <c r="J140">
        <v>3.61</v>
      </c>
    </row>
    <row r="141" spans="1:10" x14ac:dyDescent="0.2">
      <c r="A141" s="1">
        <v>44439</v>
      </c>
      <c r="B141">
        <v>0.1</v>
      </c>
      <c r="C141">
        <v>88967</v>
      </c>
      <c r="D141">
        <v>21.45</v>
      </c>
      <c r="E141">
        <v>1.23</v>
      </c>
      <c r="F141">
        <v>1.39</v>
      </c>
      <c r="G141">
        <v>1.39</v>
      </c>
      <c r="H141">
        <v>2.59</v>
      </c>
      <c r="I141">
        <v>1.65</v>
      </c>
      <c r="J141">
        <v>3.61</v>
      </c>
    </row>
    <row r="142" spans="1:10" x14ac:dyDescent="0.2">
      <c r="A142" s="1">
        <v>44469</v>
      </c>
      <c r="B142">
        <v>0.1</v>
      </c>
      <c r="C142">
        <v>88716</v>
      </c>
      <c r="D142">
        <v>21.45</v>
      </c>
      <c r="E142">
        <v>1.2</v>
      </c>
      <c r="F142">
        <v>1.18</v>
      </c>
      <c r="G142">
        <v>1.28</v>
      </c>
      <c r="H142">
        <v>2.59</v>
      </c>
      <c r="I142">
        <v>1.56</v>
      </c>
      <c r="J142">
        <v>3.61</v>
      </c>
    </row>
    <row r="143" spans="1:10" x14ac:dyDescent="0.2">
      <c r="A143" s="1">
        <v>44500</v>
      </c>
      <c r="B143">
        <v>0.1</v>
      </c>
      <c r="C143">
        <v>87567</v>
      </c>
      <c r="D143">
        <v>21.48</v>
      </c>
      <c r="E143">
        <v>1.29</v>
      </c>
      <c r="F143">
        <v>1.1200000000000001</v>
      </c>
      <c r="G143">
        <v>1.3</v>
      </c>
      <c r="H143">
        <v>2.5299999999999998</v>
      </c>
      <c r="I143">
        <v>1.56</v>
      </c>
      <c r="J143">
        <v>3.6</v>
      </c>
    </row>
    <row r="144" spans="1:10" x14ac:dyDescent="0.2">
      <c r="A144" s="1">
        <v>44530</v>
      </c>
      <c r="B144">
        <v>0.1</v>
      </c>
      <c r="C144">
        <v>88268</v>
      </c>
      <c r="D144">
        <v>21.42</v>
      </c>
      <c r="E144">
        <v>1.53</v>
      </c>
      <c r="F144">
        <v>1.38</v>
      </c>
      <c r="G144">
        <v>1.52</v>
      </c>
      <c r="H144">
        <v>2.5</v>
      </c>
      <c r="I144">
        <v>1.73</v>
      </c>
      <c r="J144">
        <v>3.59</v>
      </c>
    </row>
    <row r="145" spans="1:10" x14ac:dyDescent="0.2">
      <c r="A145" s="1">
        <v>44561</v>
      </c>
      <c r="B145">
        <v>0.17</v>
      </c>
      <c r="C145">
        <v>86530</v>
      </c>
      <c r="D145">
        <v>21.42</v>
      </c>
      <c r="E145">
        <v>1.57</v>
      </c>
      <c r="F145">
        <v>1.39</v>
      </c>
      <c r="G145">
        <v>1.59</v>
      </c>
      <c r="H145">
        <v>2.44</v>
      </c>
      <c r="I145">
        <v>1.75</v>
      </c>
      <c r="J145">
        <v>3.61</v>
      </c>
    </row>
    <row r="146" spans="1:10" x14ac:dyDescent="0.2">
      <c r="A146" s="1">
        <v>44592</v>
      </c>
      <c r="B146">
        <v>0.25</v>
      </c>
      <c r="C146">
        <v>87258</v>
      </c>
      <c r="D146">
        <v>21.43</v>
      </c>
      <c r="E146">
        <v>1.64</v>
      </c>
      <c r="F146">
        <v>1.63</v>
      </c>
      <c r="G146">
        <v>1.63</v>
      </c>
      <c r="H146">
        <v>2.34</v>
      </c>
      <c r="I146">
        <v>1.81</v>
      </c>
      <c r="J146">
        <v>3.67</v>
      </c>
    </row>
    <row r="147" spans="1:10" x14ac:dyDescent="0.2">
      <c r="A147" s="1">
        <v>44620</v>
      </c>
      <c r="B147">
        <v>0.48</v>
      </c>
      <c r="C147">
        <v>86855</v>
      </c>
      <c r="D147">
        <v>21.44</v>
      </c>
      <c r="E147">
        <v>1.78</v>
      </c>
      <c r="F147">
        <v>1.79</v>
      </c>
      <c r="G147">
        <v>1.79</v>
      </c>
      <c r="H147">
        <v>2.2400000000000002</v>
      </c>
      <c r="I147">
        <v>1.9</v>
      </c>
      <c r="J147">
        <v>3.84</v>
      </c>
    </row>
    <row r="148" spans="1:10" x14ac:dyDescent="0.2">
      <c r="A148" s="1">
        <v>44651</v>
      </c>
      <c r="B148">
        <v>0.62</v>
      </c>
      <c r="C148">
        <v>86934</v>
      </c>
      <c r="D148">
        <v>21.42</v>
      </c>
      <c r="E148">
        <v>2.14</v>
      </c>
      <c r="F148">
        <v>2.0299999999999998</v>
      </c>
      <c r="G148">
        <v>2.11</v>
      </c>
      <c r="H148">
        <v>2.5</v>
      </c>
      <c r="I148">
        <v>2.2000000000000002</v>
      </c>
      <c r="J148">
        <v>3.99</v>
      </c>
    </row>
    <row r="149" spans="1:10" x14ac:dyDescent="0.2">
      <c r="A149" s="1">
        <v>44681</v>
      </c>
      <c r="B149">
        <v>0.75</v>
      </c>
      <c r="C149">
        <v>85573</v>
      </c>
      <c r="D149">
        <v>21.41</v>
      </c>
      <c r="E149">
        <v>2.35</v>
      </c>
      <c r="F149">
        <v>2.2599999999999998</v>
      </c>
      <c r="G149">
        <v>2.35</v>
      </c>
      <c r="H149">
        <v>2.64</v>
      </c>
      <c r="I149">
        <v>2.4</v>
      </c>
      <c r="J149">
        <v>4.1100000000000003</v>
      </c>
    </row>
    <row r="150" spans="1:10" x14ac:dyDescent="0.2">
      <c r="A150" s="1">
        <v>44712</v>
      </c>
      <c r="B150">
        <v>0.98</v>
      </c>
      <c r="C150">
        <v>86192</v>
      </c>
      <c r="D150">
        <v>21.38</v>
      </c>
      <c r="E150">
        <v>2.63</v>
      </c>
      <c r="F150">
        <v>2.56</v>
      </c>
      <c r="G150">
        <v>2.62</v>
      </c>
      <c r="H150">
        <v>2.78</v>
      </c>
      <c r="I150">
        <v>2.65</v>
      </c>
      <c r="J150">
        <v>4.26</v>
      </c>
    </row>
    <row r="151" spans="1:10" x14ac:dyDescent="0.2">
      <c r="A151" s="1">
        <v>44742</v>
      </c>
      <c r="B151">
        <v>1.1399999999999999</v>
      </c>
      <c r="C151">
        <v>85631</v>
      </c>
      <c r="D151">
        <v>21.43</v>
      </c>
      <c r="E151">
        <v>2.87</v>
      </c>
      <c r="F151">
        <v>2.98</v>
      </c>
      <c r="G151">
        <v>2.9</v>
      </c>
      <c r="H151">
        <v>3.17</v>
      </c>
      <c r="I151">
        <v>2.98</v>
      </c>
      <c r="J151">
        <v>4.3899999999999997</v>
      </c>
    </row>
    <row r="152" spans="1:10" x14ac:dyDescent="0.2">
      <c r="A152" s="1">
        <v>44773</v>
      </c>
      <c r="B152">
        <v>1.25</v>
      </c>
      <c r="C152">
        <v>84958</v>
      </c>
      <c r="D152">
        <v>21.66</v>
      </c>
      <c r="E152">
        <v>3.48</v>
      </c>
      <c r="F152">
        <v>3.32</v>
      </c>
      <c r="G152">
        <v>3.43</v>
      </c>
      <c r="H152">
        <v>3.57</v>
      </c>
      <c r="I152">
        <v>3.45</v>
      </c>
      <c r="J152">
        <v>4.55</v>
      </c>
    </row>
    <row r="153" spans="1:10" x14ac:dyDescent="0.2">
      <c r="A153" s="1">
        <v>44804</v>
      </c>
      <c r="B153">
        <v>1.68</v>
      </c>
      <c r="C153">
        <v>86120</v>
      </c>
      <c r="D153">
        <v>21.8</v>
      </c>
      <c r="E153">
        <v>3.6</v>
      </c>
      <c r="F153">
        <v>3.75</v>
      </c>
      <c r="G153">
        <v>3.61</v>
      </c>
      <c r="H153">
        <v>3.75</v>
      </c>
      <c r="I153">
        <v>3.68</v>
      </c>
      <c r="J153">
        <v>4.88</v>
      </c>
    </row>
    <row r="154" spans="1:10" x14ac:dyDescent="0.2">
      <c r="A154" s="1">
        <v>44834</v>
      </c>
      <c r="B154">
        <v>1.92</v>
      </c>
      <c r="C154">
        <v>84924</v>
      </c>
      <c r="D154">
        <v>21.89</v>
      </c>
      <c r="E154">
        <v>4.17</v>
      </c>
      <c r="F154">
        <v>4.45</v>
      </c>
      <c r="G154">
        <v>3.97</v>
      </c>
      <c r="H154">
        <v>4.17</v>
      </c>
      <c r="I154">
        <v>4.1900000000000004</v>
      </c>
      <c r="J154">
        <v>5.0999999999999996</v>
      </c>
    </row>
    <row r="155" spans="1:10" x14ac:dyDescent="0.2">
      <c r="A155" s="1">
        <v>44865</v>
      </c>
      <c r="B155">
        <v>2.25</v>
      </c>
      <c r="C155">
        <v>85527</v>
      </c>
      <c r="D155">
        <v>21.83</v>
      </c>
      <c r="E155">
        <v>5.99</v>
      </c>
      <c r="F155">
        <v>5.9</v>
      </c>
      <c r="G155">
        <v>5.61</v>
      </c>
      <c r="H155">
        <v>5.21</v>
      </c>
      <c r="I155">
        <v>5.68</v>
      </c>
      <c r="J155">
        <v>5.42</v>
      </c>
    </row>
    <row r="156" spans="1:10" x14ac:dyDescent="0.2">
      <c r="A156" s="1">
        <v>44895</v>
      </c>
      <c r="B156">
        <v>2.93</v>
      </c>
      <c r="C156">
        <v>86094</v>
      </c>
      <c r="D156">
        <v>21.96</v>
      </c>
      <c r="E156">
        <v>5.98</v>
      </c>
      <c r="F156">
        <v>5.63</v>
      </c>
      <c r="G156">
        <v>5.5</v>
      </c>
      <c r="H156">
        <v>5.33</v>
      </c>
      <c r="I156">
        <v>5.61</v>
      </c>
      <c r="J156">
        <v>5.87</v>
      </c>
    </row>
    <row r="157" spans="1:10" x14ac:dyDescent="0.2">
      <c r="A157" s="1">
        <v>44926</v>
      </c>
      <c r="B157">
        <v>3.25</v>
      </c>
      <c r="C157">
        <v>85828</v>
      </c>
      <c r="D157">
        <v>22.48</v>
      </c>
      <c r="E157">
        <v>5.43</v>
      </c>
      <c r="F157">
        <v>5.28</v>
      </c>
      <c r="G157">
        <v>5.05</v>
      </c>
      <c r="H157">
        <v>5</v>
      </c>
      <c r="I157">
        <v>5.19</v>
      </c>
      <c r="J157">
        <v>6.42</v>
      </c>
    </row>
    <row r="158" spans="1:10" x14ac:dyDescent="0.2">
      <c r="A158" s="1">
        <v>44957</v>
      </c>
      <c r="B158">
        <v>3.5</v>
      </c>
      <c r="C158">
        <v>86755</v>
      </c>
      <c r="D158">
        <v>22.42</v>
      </c>
      <c r="E158">
        <v>5.14</v>
      </c>
      <c r="F158">
        <v>4.88</v>
      </c>
      <c r="G158">
        <v>4.66</v>
      </c>
      <c r="H158">
        <v>4.8600000000000003</v>
      </c>
      <c r="I158">
        <v>4.8899999999999997</v>
      </c>
      <c r="J158">
        <v>6.61</v>
      </c>
    </row>
    <row r="159" spans="1:10" x14ac:dyDescent="0.2">
      <c r="A159" s="1">
        <v>44985</v>
      </c>
      <c r="B159">
        <v>3.98</v>
      </c>
      <c r="C159">
        <v>86981</v>
      </c>
      <c r="D159">
        <v>22.45</v>
      </c>
      <c r="E159">
        <v>4.79</v>
      </c>
      <c r="F159">
        <v>4.66</v>
      </c>
      <c r="G159">
        <v>4.3600000000000003</v>
      </c>
      <c r="H159">
        <v>4.42</v>
      </c>
      <c r="I159">
        <v>4.5599999999999996</v>
      </c>
      <c r="J159">
        <v>6.97</v>
      </c>
    </row>
    <row r="160" spans="1:10" x14ac:dyDescent="0.2">
      <c r="A160" s="1">
        <v>45016</v>
      </c>
      <c r="B160">
        <v>4.08</v>
      </c>
      <c r="C160">
        <v>85473</v>
      </c>
      <c r="D160">
        <v>22.48</v>
      </c>
      <c r="E160">
        <v>4.74</v>
      </c>
      <c r="F160">
        <v>4.5599999999999996</v>
      </c>
      <c r="G160">
        <v>4.26</v>
      </c>
      <c r="H160">
        <v>4.33</v>
      </c>
      <c r="I160">
        <v>4.47</v>
      </c>
      <c r="J160">
        <v>7.16</v>
      </c>
    </row>
    <row r="161" spans="1:10" x14ac:dyDescent="0.2">
      <c r="A161" s="1">
        <v>45046</v>
      </c>
      <c r="B161">
        <v>4.25</v>
      </c>
      <c r="C161">
        <v>85704</v>
      </c>
      <c r="D161">
        <v>22.76</v>
      </c>
      <c r="E161">
        <v>4.5999999999999996</v>
      </c>
      <c r="F161">
        <v>4.3600000000000003</v>
      </c>
      <c r="G161">
        <v>4.16</v>
      </c>
      <c r="H161">
        <v>4.2300000000000004</v>
      </c>
      <c r="I161">
        <v>4.34</v>
      </c>
      <c r="J161">
        <v>7.3</v>
      </c>
    </row>
    <row r="162" spans="1:10" x14ac:dyDescent="0.2">
      <c r="A162" s="1">
        <v>45077</v>
      </c>
      <c r="B162">
        <v>4.43</v>
      </c>
      <c r="C162">
        <v>86569</v>
      </c>
      <c r="D162">
        <v>22.76</v>
      </c>
      <c r="E162">
        <v>4.72</v>
      </c>
      <c r="F162">
        <v>4.46</v>
      </c>
      <c r="G162">
        <v>4.28</v>
      </c>
      <c r="H162">
        <v>4.4000000000000004</v>
      </c>
      <c r="I162">
        <v>4.47</v>
      </c>
      <c r="J162">
        <v>7.38</v>
      </c>
    </row>
    <row r="163" spans="1:10" x14ac:dyDescent="0.2">
      <c r="A163" s="1">
        <v>45107</v>
      </c>
      <c r="B163">
        <v>4.66</v>
      </c>
      <c r="C163">
        <v>85495</v>
      </c>
      <c r="D163">
        <v>23.1</v>
      </c>
      <c r="E163">
        <v>5.49</v>
      </c>
      <c r="F163">
        <v>5.16</v>
      </c>
      <c r="G163">
        <v>4.95</v>
      </c>
      <c r="H163">
        <v>4.83</v>
      </c>
      <c r="I163">
        <v>5.1100000000000003</v>
      </c>
      <c r="J163">
        <v>7.47</v>
      </c>
    </row>
    <row r="164" spans="1:10" x14ac:dyDescent="0.2">
      <c r="A164" s="1">
        <v>45138</v>
      </c>
      <c r="B164">
        <v>5</v>
      </c>
      <c r="C164">
        <v>86021</v>
      </c>
      <c r="D164">
        <v>23.38</v>
      </c>
      <c r="E164">
        <v>6.22</v>
      </c>
      <c r="F164">
        <v>5.93</v>
      </c>
      <c r="G164">
        <v>5.71</v>
      </c>
      <c r="H164">
        <v>5.16</v>
      </c>
      <c r="I164">
        <v>5.76</v>
      </c>
      <c r="J164">
        <v>7.64</v>
      </c>
    </row>
    <row r="165" spans="1:10" x14ac:dyDescent="0.2">
      <c r="A165" s="1">
        <v>45169</v>
      </c>
      <c r="B165">
        <v>5.23</v>
      </c>
      <c r="C165">
        <v>85982</v>
      </c>
      <c r="D165">
        <v>23.57</v>
      </c>
      <c r="E165">
        <v>6.18</v>
      </c>
      <c r="F165">
        <v>6.01</v>
      </c>
      <c r="G165">
        <v>5.53</v>
      </c>
      <c r="H165">
        <v>5.14</v>
      </c>
      <c r="I165">
        <v>5.72</v>
      </c>
      <c r="J165">
        <v>7.91</v>
      </c>
    </row>
    <row r="166" spans="1:10" x14ac:dyDescent="0.2">
      <c r="A166" s="1">
        <v>45199</v>
      </c>
      <c r="B166">
        <v>5.25</v>
      </c>
      <c r="C166">
        <v>85510</v>
      </c>
      <c r="D166">
        <v>23.8</v>
      </c>
      <c r="E166">
        <v>5.91</v>
      </c>
      <c r="F166">
        <v>5.79</v>
      </c>
      <c r="G166">
        <v>5.24</v>
      </c>
      <c r="H166">
        <v>5.0999999999999996</v>
      </c>
      <c r="I166">
        <v>5.51</v>
      </c>
      <c r="J166">
        <v>7.98</v>
      </c>
    </row>
    <row r="167" spans="1:10" x14ac:dyDescent="0.2">
      <c r="A167" s="1">
        <v>45230</v>
      </c>
      <c r="B167">
        <v>5.25</v>
      </c>
      <c r="C167">
        <v>86724</v>
      </c>
      <c r="D167">
        <v>23.8</v>
      </c>
      <c r="E167">
        <v>5.6</v>
      </c>
      <c r="F167">
        <v>5.43</v>
      </c>
      <c r="G167">
        <v>5.0199999999999996</v>
      </c>
      <c r="H167">
        <v>4.99</v>
      </c>
      <c r="I167">
        <v>5.26</v>
      </c>
      <c r="J167">
        <v>8.02</v>
      </c>
    </row>
    <row r="168" spans="1:10" x14ac:dyDescent="0.2">
      <c r="A168" s="1">
        <v>45260</v>
      </c>
      <c r="B168">
        <v>5.25</v>
      </c>
      <c r="C168">
        <v>86697</v>
      </c>
      <c r="D168">
        <v>23.9</v>
      </c>
      <c r="E168">
        <v>5.28</v>
      </c>
      <c r="F168">
        <v>5.27</v>
      </c>
      <c r="G168">
        <v>4.8899999999999997</v>
      </c>
      <c r="H168">
        <v>4.8899999999999997</v>
      </c>
      <c r="I168">
        <v>5.08</v>
      </c>
      <c r="J168">
        <v>8</v>
      </c>
    </row>
    <row r="169" spans="1:10" x14ac:dyDescent="0.2">
      <c r="A169" s="1">
        <v>45291</v>
      </c>
      <c r="B169">
        <v>5.25</v>
      </c>
      <c r="C169">
        <v>86248</v>
      </c>
      <c r="D169">
        <v>24.02</v>
      </c>
      <c r="E169">
        <v>5.03</v>
      </c>
      <c r="F169">
        <v>5.07</v>
      </c>
      <c r="G169">
        <v>4.68</v>
      </c>
      <c r="H169">
        <v>4.7</v>
      </c>
      <c r="I169">
        <v>4.87</v>
      </c>
      <c r="J169">
        <v>7.92</v>
      </c>
    </row>
    <row r="170" spans="1:10" x14ac:dyDescent="0.2">
      <c r="A170" s="1">
        <v>45322</v>
      </c>
      <c r="B170">
        <v>5.25</v>
      </c>
      <c r="C170">
        <v>87320</v>
      </c>
      <c r="D170">
        <v>24.02</v>
      </c>
      <c r="E170">
        <v>4.71</v>
      </c>
      <c r="F170">
        <v>4.75</v>
      </c>
      <c r="G170">
        <v>4.43</v>
      </c>
      <c r="H170">
        <v>4.68</v>
      </c>
      <c r="I170">
        <v>4.6399999999999997</v>
      </c>
      <c r="J170">
        <v>7.94</v>
      </c>
    </row>
    <row r="171" spans="1:10" x14ac:dyDescent="0.2">
      <c r="A171" s="1">
        <v>45351</v>
      </c>
      <c r="B171">
        <v>5.25</v>
      </c>
      <c r="C171">
        <v>87421</v>
      </c>
      <c r="D171">
        <v>24.03</v>
      </c>
      <c r="E171">
        <v>4.76</v>
      </c>
      <c r="F171">
        <v>4.53</v>
      </c>
      <c r="G171">
        <v>4.41</v>
      </c>
      <c r="H171">
        <v>4.75</v>
      </c>
      <c r="I171">
        <v>4.6100000000000003</v>
      </c>
      <c r="J171">
        <v>7.94</v>
      </c>
    </row>
    <row r="172" spans="1:10" x14ac:dyDescent="0.2">
      <c r="A172" s="1">
        <v>45382</v>
      </c>
      <c r="B172">
        <v>5.25</v>
      </c>
      <c r="C172">
        <v>86172</v>
      </c>
      <c r="D172">
        <v>24.34</v>
      </c>
      <c r="E172">
        <v>4.96</v>
      </c>
      <c r="F172">
        <v>4.7300000000000004</v>
      </c>
      <c r="G172">
        <v>4.53</v>
      </c>
      <c r="H172">
        <v>4.79</v>
      </c>
      <c r="I172">
        <v>4.75</v>
      </c>
      <c r="J172">
        <v>7.93</v>
      </c>
    </row>
    <row r="173" spans="1:10" x14ac:dyDescent="0.2">
      <c r="A173" s="1">
        <v>45412</v>
      </c>
      <c r="B173">
        <v>5.25</v>
      </c>
      <c r="C173">
        <v>87987</v>
      </c>
      <c r="D173">
        <v>24.58</v>
      </c>
      <c r="E173">
        <v>4.9800000000000004</v>
      </c>
      <c r="F173">
        <v>4.74</v>
      </c>
      <c r="G173">
        <v>4.51</v>
      </c>
      <c r="H173">
        <v>4.78</v>
      </c>
      <c r="I173">
        <v>4.75</v>
      </c>
      <c r="J173">
        <v>8</v>
      </c>
    </row>
    <row r="174" spans="1:10" x14ac:dyDescent="0.2">
      <c r="A174" s="1">
        <v>45443</v>
      </c>
      <c r="B174">
        <v>5.25</v>
      </c>
      <c r="C174">
        <v>86818</v>
      </c>
      <c r="D174">
        <v>24.57</v>
      </c>
      <c r="E174">
        <v>5.19</v>
      </c>
      <c r="F174">
        <v>4.88</v>
      </c>
      <c r="G174">
        <v>4.66</v>
      </c>
      <c r="H174">
        <v>4.87</v>
      </c>
      <c r="I174">
        <v>4.9000000000000004</v>
      </c>
      <c r="J174">
        <v>8</v>
      </c>
    </row>
    <row r="175" spans="1:10" x14ac:dyDescent="0.2">
      <c r="A175" s="1">
        <v>45473</v>
      </c>
      <c r="B175">
        <v>5.25</v>
      </c>
      <c r="C175">
        <v>86780</v>
      </c>
      <c r="D175">
        <v>24.57</v>
      </c>
      <c r="E175">
        <v>5.16</v>
      </c>
      <c r="F175">
        <v>4.8600000000000003</v>
      </c>
      <c r="G175">
        <v>4.6399999999999997</v>
      </c>
      <c r="H175">
        <v>4.87</v>
      </c>
      <c r="I175">
        <v>4.88</v>
      </c>
      <c r="J175">
        <v>8.0299999999999994</v>
      </c>
    </row>
    <row r="176" spans="1:10" x14ac:dyDescent="0.2">
      <c r="A176" s="1">
        <v>45504</v>
      </c>
      <c r="B176">
        <v>5.25</v>
      </c>
      <c r="C176">
        <v>88189</v>
      </c>
      <c r="D176">
        <v>24.57</v>
      </c>
      <c r="E176">
        <v>4.99</v>
      </c>
      <c r="F176">
        <v>4.78</v>
      </c>
      <c r="G176">
        <v>4.49</v>
      </c>
      <c r="H176">
        <v>4.8600000000000003</v>
      </c>
      <c r="I176">
        <v>4.78</v>
      </c>
      <c r="J176">
        <v>8.07</v>
      </c>
    </row>
    <row r="177" spans="1:10" x14ac:dyDescent="0.2">
      <c r="A177" s="1">
        <v>45535</v>
      </c>
      <c r="B177">
        <v>5</v>
      </c>
      <c r="C177">
        <v>87462</v>
      </c>
      <c r="D177">
        <v>24.58</v>
      </c>
      <c r="E177">
        <v>4.8</v>
      </c>
      <c r="F177">
        <v>4.62</v>
      </c>
      <c r="G177">
        <v>4.33</v>
      </c>
      <c r="H177">
        <v>4.8499999999999996</v>
      </c>
      <c r="I177">
        <v>4.6500000000000004</v>
      </c>
      <c r="J177">
        <v>7.86</v>
      </c>
    </row>
    <row r="178" spans="1:10" x14ac:dyDescent="0.2">
      <c r="A178" s="1">
        <v>45565</v>
      </c>
      <c r="B178">
        <v>5</v>
      </c>
      <c r="C178">
        <v>88254</v>
      </c>
      <c r="D178">
        <v>24.58</v>
      </c>
      <c r="E178">
        <v>4.58</v>
      </c>
      <c r="F178">
        <v>4.43</v>
      </c>
      <c r="G178">
        <v>4.09</v>
      </c>
      <c r="H178">
        <v>4.8</v>
      </c>
      <c r="I178">
        <v>4.4800000000000004</v>
      </c>
      <c r="J178">
        <v>7.7</v>
      </c>
    </row>
    <row r="179" spans="1:10" x14ac:dyDescent="0.2">
      <c r="A179" s="1">
        <v>45596</v>
      </c>
      <c r="B179">
        <v>5</v>
      </c>
      <c r="C179">
        <v>88599</v>
      </c>
      <c r="D179">
        <v>24.58</v>
      </c>
      <c r="E179">
        <v>4.4000000000000004</v>
      </c>
      <c r="F179">
        <v>4.28</v>
      </c>
      <c r="G179">
        <v>4.0599999999999996</v>
      </c>
      <c r="H179">
        <v>4.6500000000000004</v>
      </c>
      <c r="I179">
        <v>4.3499999999999996</v>
      </c>
      <c r="J179">
        <v>7.68</v>
      </c>
    </row>
    <row r="180" spans="1:10" x14ac:dyDescent="0.2">
      <c r="A180" s="1">
        <v>45626</v>
      </c>
      <c r="B180">
        <v>4.8</v>
      </c>
      <c r="C180">
        <v>88207</v>
      </c>
      <c r="D180">
        <v>24.65</v>
      </c>
      <c r="E180">
        <v>4.53</v>
      </c>
      <c r="F180">
        <v>4.4400000000000004</v>
      </c>
      <c r="G180">
        <v>4.29</v>
      </c>
      <c r="H180">
        <v>4.6100000000000003</v>
      </c>
      <c r="I180">
        <v>4.47</v>
      </c>
      <c r="J180">
        <v>7.56</v>
      </c>
    </row>
    <row r="181" spans="1:10" x14ac:dyDescent="0.2">
      <c r="A181" s="1">
        <v>45657</v>
      </c>
      <c r="B181">
        <v>4.75</v>
      </c>
      <c r="C181">
        <v>89968</v>
      </c>
      <c r="D181">
        <v>24.65</v>
      </c>
      <c r="E181">
        <v>4.5999999999999996</v>
      </c>
      <c r="F181">
        <v>4.4800000000000004</v>
      </c>
      <c r="G181">
        <v>4.37</v>
      </c>
      <c r="H181">
        <v>4.58</v>
      </c>
      <c r="I181">
        <v>4.51</v>
      </c>
      <c r="J181">
        <v>7.47</v>
      </c>
    </row>
    <row r="182" spans="1:10" x14ac:dyDescent="0.2">
      <c r="A182" s="1">
        <v>45688</v>
      </c>
      <c r="B182">
        <v>4.75</v>
      </c>
      <c r="C182">
        <v>89310</v>
      </c>
      <c r="D182">
        <v>24.65</v>
      </c>
      <c r="E182">
        <v>4.63</v>
      </c>
      <c r="F182">
        <v>4.5</v>
      </c>
      <c r="G182">
        <v>4.37</v>
      </c>
      <c r="H182">
        <v>4.57</v>
      </c>
      <c r="I182">
        <v>4.5199999999999996</v>
      </c>
      <c r="J182">
        <v>7.48</v>
      </c>
    </row>
    <row r="183" spans="1:10" x14ac:dyDescent="0.2">
      <c r="A183" s="1">
        <v>45716</v>
      </c>
      <c r="B183">
        <v>4.54</v>
      </c>
      <c r="C183">
        <v>89613</v>
      </c>
      <c r="D183">
        <v>24.65</v>
      </c>
      <c r="E183">
        <v>4.6500000000000004</v>
      </c>
      <c r="F183">
        <v>4.49</v>
      </c>
      <c r="G183">
        <v>4.38</v>
      </c>
      <c r="H183">
        <v>4.5999999999999996</v>
      </c>
      <c r="I183">
        <v>4.53</v>
      </c>
      <c r="J183">
        <v>7.35</v>
      </c>
    </row>
    <row r="184" spans="1:10" x14ac:dyDescent="0.2">
      <c r="A184" s="1">
        <v>45747</v>
      </c>
      <c r="B184">
        <v>4.5</v>
      </c>
      <c r="C184">
        <v>91158</v>
      </c>
      <c r="D184">
        <v>24.65</v>
      </c>
      <c r="E184">
        <v>4.54</v>
      </c>
      <c r="F184">
        <v>4.38</v>
      </c>
      <c r="G184">
        <v>4.32</v>
      </c>
      <c r="H184">
        <v>4.5999999999999996</v>
      </c>
      <c r="I184">
        <v>4.46</v>
      </c>
      <c r="J184">
        <v>7.24</v>
      </c>
    </row>
    <row r="185" spans="1:10" x14ac:dyDescent="0.2">
      <c r="A185" s="1">
        <v>45777</v>
      </c>
      <c r="B185">
        <v>4.5</v>
      </c>
      <c r="C185">
        <v>91358</v>
      </c>
      <c r="D185">
        <v>24.65</v>
      </c>
      <c r="E185">
        <v>4.42</v>
      </c>
      <c r="F185">
        <v>4.34</v>
      </c>
      <c r="G185">
        <v>4.29</v>
      </c>
      <c r="H185">
        <v>4.59</v>
      </c>
      <c r="I185">
        <v>4.41</v>
      </c>
      <c r="J185">
        <v>7.19</v>
      </c>
    </row>
    <row r="186" spans="1:10" x14ac:dyDescent="0.2">
      <c r="A186" s="1">
        <v>45808</v>
      </c>
      <c r="B186">
        <v>4.3</v>
      </c>
      <c r="C186">
        <v>90852</v>
      </c>
      <c r="D186">
        <v>24.65</v>
      </c>
      <c r="E186">
        <v>4.18</v>
      </c>
      <c r="F186">
        <v>4.2699999999999996</v>
      </c>
      <c r="G186">
        <v>4.1900000000000004</v>
      </c>
      <c r="H186">
        <v>4.53</v>
      </c>
      <c r="I186">
        <v>4.29</v>
      </c>
      <c r="J186">
        <v>7.08</v>
      </c>
    </row>
    <row r="187" spans="1:10" x14ac:dyDescent="0.2">
      <c r="A187" s="1">
        <v>45838</v>
      </c>
      <c r="B187">
        <v>4.25</v>
      </c>
      <c r="C187">
        <v>92294</v>
      </c>
      <c r="D187">
        <v>24.67</v>
      </c>
      <c r="E187">
        <v>4.28</v>
      </c>
      <c r="F187">
        <v>4.28</v>
      </c>
      <c r="G187">
        <v>4.26</v>
      </c>
      <c r="H187">
        <v>4.51</v>
      </c>
      <c r="I187">
        <v>4.33</v>
      </c>
      <c r="J187">
        <v>6.98</v>
      </c>
    </row>
    <row r="188" spans="1:10" x14ac:dyDescent="0.2">
      <c r="A188" s="1">
        <v>45869</v>
      </c>
      <c r="B188">
        <v>4.25</v>
      </c>
      <c r="C188">
        <v>92356</v>
      </c>
      <c r="D188">
        <v>24.65</v>
      </c>
      <c r="E188">
        <v>4.21</v>
      </c>
      <c r="F188">
        <v>4.18</v>
      </c>
      <c r="G188">
        <v>4.1500000000000004</v>
      </c>
      <c r="H188">
        <v>4.47</v>
      </c>
      <c r="I188">
        <v>4.25</v>
      </c>
      <c r="J188">
        <v>6.99</v>
      </c>
    </row>
    <row r="189" spans="1:10" x14ac:dyDescent="0.2">
      <c r="A189" s="1">
        <v>45900</v>
      </c>
      <c r="B189">
        <v>4.05</v>
      </c>
      <c r="C189">
        <v>92304</v>
      </c>
      <c r="D189">
        <v>24.65</v>
      </c>
      <c r="E189">
        <v>4.0999999999999996</v>
      </c>
      <c r="F189">
        <v>4.0999999999999996</v>
      </c>
      <c r="G189">
        <v>4.1100000000000003</v>
      </c>
      <c r="H189">
        <v>4.46</v>
      </c>
      <c r="I189">
        <v>4.1900000000000004</v>
      </c>
      <c r="J189">
        <v>6.89</v>
      </c>
    </row>
    <row r="190" spans="1:10" x14ac:dyDescent="0.2">
      <c r="A190" s="1">
        <v>45930</v>
      </c>
      <c r="B190">
        <v>4</v>
      </c>
      <c r="C190">
        <v>94272</v>
      </c>
      <c r="D190">
        <v>24.65</v>
      </c>
      <c r="E190">
        <v>4.1900000000000004</v>
      </c>
      <c r="F190">
        <v>4.18</v>
      </c>
      <c r="G190">
        <v>4.16</v>
      </c>
      <c r="H190">
        <v>4.54</v>
      </c>
      <c r="I190">
        <v>4.2699999999999996</v>
      </c>
      <c r="J190">
        <v>6.8</v>
      </c>
    </row>
    <row r="191" spans="1:10" x14ac:dyDescent="0.2">
      <c r="A191" s="1">
        <v>45961</v>
      </c>
      <c r="B191">
        <v>4</v>
      </c>
      <c r="C191">
        <v>93682</v>
      </c>
      <c r="D191">
        <v>24.65</v>
      </c>
      <c r="E191">
        <v>4.2</v>
      </c>
      <c r="F191">
        <v>4.1900000000000004</v>
      </c>
      <c r="G191">
        <v>4.17</v>
      </c>
      <c r="H191">
        <v>4.55</v>
      </c>
      <c r="I191">
        <v>4.28</v>
      </c>
      <c r="J191">
        <v>6.81</v>
      </c>
    </row>
    <row r="192" spans="1:10" x14ac:dyDescent="0.2">
      <c r="A192" s="1">
        <v>45991</v>
      </c>
      <c r="B192">
        <v>4</v>
      </c>
      <c r="C192">
        <v>94237</v>
      </c>
      <c r="D192">
        <v>24.66</v>
      </c>
      <c r="E192">
        <v>4.0599999999999996</v>
      </c>
      <c r="F192">
        <v>4.0199999999999996</v>
      </c>
      <c r="G192">
        <v>4.0599999999999996</v>
      </c>
      <c r="H192">
        <v>4.49</v>
      </c>
      <c r="I192">
        <v>4.16</v>
      </c>
      <c r="J192">
        <v>6.82</v>
      </c>
    </row>
    <row r="193" spans="1:10" x14ac:dyDescent="0.2">
      <c r="A193" s="1">
        <v>46022</v>
      </c>
      <c r="B193">
        <v>3.9</v>
      </c>
      <c r="C193">
        <v>95769</v>
      </c>
      <c r="D193">
        <v>24.65</v>
      </c>
      <c r="E193">
        <v>3.97</v>
      </c>
      <c r="F193">
        <v>3.99</v>
      </c>
      <c r="G193">
        <v>3.99</v>
      </c>
      <c r="H193">
        <v>4.4800000000000004</v>
      </c>
      <c r="I193">
        <v>4.1100000000000003</v>
      </c>
      <c r="J193">
        <v>6.77</v>
      </c>
    </row>
    <row r="194" spans="1:10" x14ac:dyDescent="0.2">
      <c r="A194" s="1">
        <v>46053</v>
      </c>
      <c r="B194">
        <v>3.75</v>
      </c>
      <c r="C194">
        <v>95447</v>
      </c>
      <c r="D194">
        <v>24.66</v>
      </c>
      <c r="E194">
        <v>3.93</v>
      </c>
      <c r="F194">
        <v>3.93</v>
      </c>
      <c r="G194">
        <v>3.94</v>
      </c>
      <c r="H194">
        <v>4.47</v>
      </c>
      <c r="I194">
        <v>4.07</v>
      </c>
      <c r="J194">
        <v>6.62</v>
      </c>
    </row>
    <row r="195" spans="1:10" x14ac:dyDescent="0.2">
      <c r="A195" s="1">
        <v>46081</v>
      </c>
      <c r="B195">
        <v>3.75</v>
      </c>
      <c r="C195">
        <v>96153</v>
      </c>
      <c r="D195">
        <v>24.65</v>
      </c>
      <c r="E195">
        <v>3.97</v>
      </c>
      <c r="F195">
        <v>3.93</v>
      </c>
      <c r="G195">
        <v>4</v>
      </c>
      <c r="H195">
        <v>4.47</v>
      </c>
      <c r="I195">
        <v>4.09</v>
      </c>
      <c r="J195">
        <v>6.59</v>
      </c>
    </row>
    <row r="196" spans="1:10" x14ac:dyDescent="0.2">
      <c r="A196" s="1">
        <v>46112</v>
      </c>
      <c r="B196">
        <v>3.75</v>
      </c>
      <c r="C196">
        <v>97664</v>
      </c>
      <c r="D196">
        <v>24.67</v>
      </c>
      <c r="E196">
        <v>4.45</v>
      </c>
      <c r="F196">
        <v>4.3600000000000003</v>
      </c>
      <c r="G196">
        <v>4.42</v>
      </c>
      <c r="H196">
        <v>4.8099999999999996</v>
      </c>
      <c r="I196">
        <v>4.51</v>
      </c>
      <c r="J196">
        <v>6.6</v>
      </c>
    </row>
    <row r="197" spans="1:10" x14ac:dyDescent="0.2">
      <c r="A197" s="1">
        <v>46142</v>
      </c>
      <c r="B197">
        <v>3.75</v>
      </c>
      <c r="C197">
        <v>98227</v>
      </c>
      <c r="D197">
        <v>24.69</v>
      </c>
      <c r="E197">
        <v>5.14</v>
      </c>
      <c r="F197">
        <v>4.96</v>
      </c>
      <c r="G197">
        <v>4.9800000000000004</v>
      </c>
      <c r="H197">
        <v>5.28</v>
      </c>
      <c r="I197">
        <v>5.09</v>
      </c>
      <c r="J197">
        <v>6.6</v>
      </c>
    </row>
    <row r="198" spans="1:10" x14ac:dyDescent="0.2">
      <c r="A198" s="1">
        <v>46173</v>
      </c>
      <c r="B198">
        <v>3.75</v>
      </c>
      <c r="D198">
        <v>24.69</v>
      </c>
      <c r="E198">
        <v>4.92</v>
      </c>
      <c r="F198">
        <v>4.88</v>
      </c>
      <c r="G198">
        <v>4.8</v>
      </c>
      <c r="H198">
        <v>5.24</v>
      </c>
      <c r="I198">
        <v>4.96</v>
      </c>
      <c r="J198">
        <v>6.6</v>
      </c>
    </row>
    <row r="199" spans="1:10" ht="23" x14ac:dyDescent="0.3">
      <c r="A199" s="6" t="s">
        <v>20</v>
      </c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9" x14ac:dyDescent="0.25">
      <c r="A200" s="5" t="s">
        <v>0</v>
      </c>
      <c r="B200" s="5" t="s">
        <v>10</v>
      </c>
      <c r="C200" s="5" t="s">
        <v>11</v>
      </c>
      <c r="D200" s="5" t="s">
        <v>12</v>
      </c>
      <c r="E200" s="5" t="s">
        <v>13</v>
      </c>
      <c r="F200" t="s">
        <v>44</v>
      </c>
      <c r="G200" t="s">
        <v>45</v>
      </c>
      <c r="H200" s="5" t="s">
        <v>46</v>
      </c>
    </row>
    <row r="201" spans="1:10" x14ac:dyDescent="0.2">
      <c r="A201" s="4">
        <v>40268</v>
      </c>
      <c r="B201" s="3">
        <v>2135</v>
      </c>
      <c r="C201" s="3">
        <v>164</v>
      </c>
      <c r="D201" s="3">
        <v>1254</v>
      </c>
      <c r="E201" s="3">
        <v>718</v>
      </c>
      <c r="H201" s="3"/>
    </row>
    <row r="202" spans="1:10" x14ac:dyDescent="0.2">
      <c r="A202" s="4">
        <v>40359</v>
      </c>
      <c r="B202" s="3">
        <v>3477</v>
      </c>
      <c r="C202" s="3">
        <v>189</v>
      </c>
      <c r="D202" s="3">
        <v>2138</v>
      </c>
      <c r="E202" s="3">
        <v>1151</v>
      </c>
      <c r="H202" s="3"/>
    </row>
    <row r="203" spans="1:10" x14ac:dyDescent="0.2">
      <c r="A203" s="4">
        <v>40451</v>
      </c>
      <c r="B203" s="3">
        <v>1837</v>
      </c>
      <c r="C203" s="3">
        <v>137</v>
      </c>
      <c r="D203" s="3">
        <v>740</v>
      </c>
      <c r="E203" s="3">
        <v>959</v>
      </c>
      <c r="H203" s="3"/>
    </row>
    <row r="204" spans="1:10" x14ac:dyDescent="0.2">
      <c r="A204" s="4">
        <v>40543</v>
      </c>
      <c r="B204" s="3">
        <v>2275</v>
      </c>
      <c r="C204" s="3">
        <v>168</v>
      </c>
      <c r="D204" s="3">
        <v>1183</v>
      </c>
      <c r="E204" s="3">
        <v>925</v>
      </c>
      <c r="H204" s="3"/>
    </row>
    <row r="205" spans="1:10" x14ac:dyDescent="0.2">
      <c r="A205" s="4">
        <v>40633</v>
      </c>
      <c r="B205" s="3">
        <v>1880</v>
      </c>
      <c r="C205" s="3">
        <v>156</v>
      </c>
      <c r="D205" s="3">
        <v>866</v>
      </c>
      <c r="E205" s="3">
        <v>858</v>
      </c>
      <c r="H205" s="3"/>
    </row>
    <row r="206" spans="1:10" x14ac:dyDescent="0.2">
      <c r="A206" s="4">
        <v>40724</v>
      </c>
      <c r="B206" s="3">
        <v>2062</v>
      </c>
      <c r="C206" s="3">
        <v>148</v>
      </c>
      <c r="D206" s="3">
        <v>1154</v>
      </c>
      <c r="E206" s="3">
        <v>760</v>
      </c>
      <c r="H206" s="3"/>
    </row>
    <row r="207" spans="1:10" x14ac:dyDescent="0.2">
      <c r="A207" s="4">
        <v>40816</v>
      </c>
      <c r="B207" s="3">
        <v>1431</v>
      </c>
      <c r="C207" s="3">
        <v>136</v>
      </c>
      <c r="D207" s="3">
        <v>716</v>
      </c>
      <c r="E207" s="3">
        <v>579</v>
      </c>
      <c r="H207" s="3"/>
    </row>
    <row r="208" spans="1:10" x14ac:dyDescent="0.2">
      <c r="A208" s="4">
        <v>40908</v>
      </c>
      <c r="B208" s="3">
        <v>1481</v>
      </c>
      <c r="C208" s="3">
        <v>149</v>
      </c>
      <c r="D208" s="3">
        <v>907</v>
      </c>
      <c r="E208" s="3">
        <v>425</v>
      </c>
      <c r="H208" s="3"/>
    </row>
    <row r="209" spans="1:8" x14ac:dyDescent="0.2">
      <c r="A209" s="4">
        <v>40999</v>
      </c>
      <c r="B209" s="3">
        <v>1287</v>
      </c>
      <c r="C209" s="3">
        <v>132</v>
      </c>
      <c r="D209" s="3">
        <v>568</v>
      </c>
      <c r="E209" s="3">
        <v>588</v>
      </c>
      <c r="H209" s="3"/>
    </row>
    <row r="210" spans="1:8" x14ac:dyDescent="0.2">
      <c r="A210" s="4">
        <v>41090</v>
      </c>
      <c r="B210" s="3">
        <v>1146</v>
      </c>
      <c r="C210" s="3">
        <v>143</v>
      </c>
      <c r="D210" s="3">
        <v>567</v>
      </c>
      <c r="E210" s="3">
        <v>435</v>
      </c>
      <c r="H210" s="3"/>
    </row>
    <row r="211" spans="1:8" x14ac:dyDescent="0.2">
      <c r="A211" s="4">
        <v>41182</v>
      </c>
      <c r="B211" s="3">
        <v>1041</v>
      </c>
      <c r="C211" s="3">
        <v>124</v>
      </c>
      <c r="D211" s="3">
        <v>473</v>
      </c>
      <c r="E211" s="3">
        <v>445</v>
      </c>
      <c r="H211" s="3"/>
    </row>
    <row r="212" spans="1:8" x14ac:dyDescent="0.2">
      <c r="A212" s="4">
        <v>41274</v>
      </c>
      <c r="B212" s="3">
        <v>999</v>
      </c>
      <c r="C212" s="3">
        <v>148</v>
      </c>
      <c r="D212" s="3">
        <v>469</v>
      </c>
      <c r="E212" s="3">
        <v>381</v>
      </c>
      <c r="H212" s="3"/>
    </row>
    <row r="213" spans="1:8" x14ac:dyDescent="0.2">
      <c r="A213" s="4">
        <v>41364</v>
      </c>
      <c r="B213" s="3">
        <v>932</v>
      </c>
      <c r="C213" s="3">
        <v>128</v>
      </c>
      <c r="D213" s="3">
        <v>385</v>
      </c>
      <c r="E213" s="3">
        <v>419</v>
      </c>
      <c r="H213" s="3"/>
    </row>
    <row r="214" spans="1:8" x14ac:dyDescent="0.2">
      <c r="A214" s="4">
        <v>41455</v>
      </c>
      <c r="B214" s="3">
        <v>696</v>
      </c>
      <c r="C214" s="3">
        <v>130</v>
      </c>
      <c r="D214" s="3">
        <v>371</v>
      </c>
      <c r="E214" s="3">
        <v>194</v>
      </c>
      <c r="H214" s="3"/>
    </row>
    <row r="215" spans="1:8" x14ac:dyDescent="0.2">
      <c r="A215" s="4">
        <v>41547</v>
      </c>
      <c r="B215" s="3">
        <v>1008</v>
      </c>
      <c r="C215" s="3">
        <v>134</v>
      </c>
      <c r="D215" s="3">
        <v>397</v>
      </c>
      <c r="E215" s="3">
        <v>477</v>
      </c>
      <c r="H215" s="3"/>
    </row>
    <row r="216" spans="1:8" x14ac:dyDescent="0.2">
      <c r="A216" s="4">
        <v>41639</v>
      </c>
      <c r="B216" s="3">
        <v>1050</v>
      </c>
      <c r="C216" s="3">
        <v>272</v>
      </c>
      <c r="D216" s="3">
        <v>560</v>
      </c>
      <c r="E216" s="3">
        <v>219</v>
      </c>
      <c r="H216" s="3"/>
    </row>
    <row r="217" spans="1:8" x14ac:dyDescent="0.2">
      <c r="A217" s="4">
        <v>41729</v>
      </c>
      <c r="B217" s="3">
        <v>669</v>
      </c>
      <c r="C217" s="3">
        <v>136</v>
      </c>
      <c r="D217" s="3">
        <v>319</v>
      </c>
      <c r="E217" s="3">
        <v>214</v>
      </c>
      <c r="H217" s="3"/>
    </row>
    <row r="218" spans="1:8" x14ac:dyDescent="0.2">
      <c r="A218" s="4">
        <v>41820</v>
      </c>
      <c r="B218" s="3">
        <v>722</v>
      </c>
      <c r="C218" s="3">
        <v>112</v>
      </c>
      <c r="D218" s="3">
        <v>324</v>
      </c>
      <c r="E218" s="3">
        <v>287</v>
      </c>
      <c r="H218" s="3"/>
    </row>
    <row r="219" spans="1:8" x14ac:dyDescent="0.2">
      <c r="A219" s="4">
        <v>41912</v>
      </c>
      <c r="B219" s="3">
        <v>867</v>
      </c>
      <c r="C219" s="3">
        <v>120</v>
      </c>
      <c r="D219" s="3">
        <v>308</v>
      </c>
      <c r="E219" s="3">
        <v>439</v>
      </c>
      <c r="H219" s="3"/>
    </row>
    <row r="220" spans="1:8" x14ac:dyDescent="0.2">
      <c r="A220" s="4">
        <v>42004</v>
      </c>
      <c r="B220" s="3">
        <v>752</v>
      </c>
      <c r="C220" s="3">
        <v>106</v>
      </c>
      <c r="D220" s="3">
        <v>393</v>
      </c>
      <c r="E220" s="3">
        <v>253</v>
      </c>
      <c r="H220" s="3"/>
    </row>
    <row r="221" spans="1:8" x14ac:dyDescent="0.2">
      <c r="A221" s="4">
        <v>42094</v>
      </c>
      <c r="B221" s="3">
        <v>822</v>
      </c>
      <c r="C221" s="3">
        <v>82</v>
      </c>
      <c r="D221" s="3">
        <v>317</v>
      </c>
      <c r="E221" s="3">
        <v>422</v>
      </c>
      <c r="H221" s="3"/>
    </row>
    <row r="222" spans="1:8" x14ac:dyDescent="0.2">
      <c r="A222" s="4">
        <v>42185</v>
      </c>
      <c r="B222" s="3">
        <v>509</v>
      </c>
      <c r="C222" s="3">
        <v>62</v>
      </c>
      <c r="D222" s="3">
        <v>217</v>
      </c>
      <c r="E222" s="3">
        <v>230</v>
      </c>
      <c r="H222" s="3"/>
    </row>
    <row r="223" spans="1:8" x14ac:dyDescent="0.2">
      <c r="A223" s="4">
        <v>42277</v>
      </c>
      <c r="B223" s="3">
        <v>798</v>
      </c>
      <c r="C223" s="3">
        <v>56</v>
      </c>
      <c r="D223" s="3">
        <v>552</v>
      </c>
      <c r="E223" s="3">
        <v>190</v>
      </c>
      <c r="H223" s="3"/>
    </row>
    <row r="224" spans="1:8" x14ac:dyDescent="0.2">
      <c r="A224" s="4">
        <v>42369</v>
      </c>
      <c r="B224" s="3">
        <v>1046</v>
      </c>
      <c r="C224" s="3">
        <v>233</v>
      </c>
      <c r="D224" s="3">
        <v>356</v>
      </c>
      <c r="E224" s="3">
        <v>458</v>
      </c>
      <c r="H224" s="3"/>
    </row>
    <row r="225" spans="1:8" x14ac:dyDescent="0.2">
      <c r="A225" s="4">
        <v>42460</v>
      </c>
      <c r="B225" s="3">
        <v>624</v>
      </c>
      <c r="C225" s="3">
        <v>45</v>
      </c>
      <c r="D225" s="3">
        <v>320</v>
      </c>
      <c r="E225" s="3">
        <v>259</v>
      </c>
      <c r="H225" s="3"/>
    </row>
    <row r="226" spans="1:8" x14ac:dyDescent="0.2">
      <c r="A226" s="4">
        <v>42551</v>
      </c>
      <c r="B226" s="3">
        <v>502</v>
      </c>
      <c r="C226" s="3">
        <v>35</v>
      </c>
      <c r="D226" s="3">
        <v>285</v>
      </c>
      <c r="E226" s="3">
        <v>182</v>
      </c>
      <c r="H226" s="3"/>
    </row>
    <row r="227" spans="1:8" x14ac:dyDescent="0.2">
      <c r="A227" s="4">
        <v>42643</v>
      </c>
      <c r="B227" s="3">
        <v>801</v>
      </c>
      <c r="C227" s="3">
        <v>35</v>
      </c>
      <c r="D227" s="3">
        <v>584</v>
      </c>
      <c r="E227" s="3">
        <v>182</v>
      </c>
      <c r="H227" s="3"/>
    </row>
    <row r="228" spans="1:8" x14ac:dyDescent="0.2">
      <c r="A228" s="4">
        <v>42735</v>
      </c>
      <c r="B228" s="3">
        <v>640</v>
      </c>
      <c r="C228" s="3">
        <v>10</v>
      </c>
      <c r="D228" s="3">
        <v>394</v>
      </c>
      <c r="E228" s="3">
        <v>237</v>
      </c>
      <c r="H228" s="3"/>
    </row>
    <row r="229" spans="1:8" x14ac:dyDescent="0.2">
      <c r="A229" s="4">
        <v>42825</v>
      </c>
      <c r="B229" s="3">
        <v>510</v>
      </c>
      <c r="C229" s="3">
        <v>4</v>
      </c>
      <c r="D229" s="3">
        <v>357</v>
      </c>
      <c r="E229" s="3">
        <v>149</v>
      </c>
      <c r="H229" s="3"/>
    </row>
    <row r="230" spans="1:8" x14ac:dyDescent="0.2">
      <c r="A230" s="4">
        <v>42916</v>
      </c>
      <c r="B230" s="3">
        <v>550</v>
      </c>
      <c r="C230" s="3">
        <v>28</v>
      </c>
      <c r="D230" s="3">
        <v>386</v>
      </c>
      <c r="E230" s="3">
        <v>136</v>
      </c>
      <c r="H230" s="3"/>
    </row>
    <row r="231" spans="1:8" x14ac:dyDescent="0.2">
      <c r="A231" s="4">
        <v>43008</v>
      </c>
      <c r="B231" s="3">
        <v>576</v>
      </c>
      <c r="C231" s="3">
        <v>30</v>
      </c>
      <c r="D231" s="3">
        <v>361</v>
      </c>
      <c r="E231" s="3">
        <v>185</v>
      </c>
      <c r="H231" s="3"/>
    </row>
    <row r="232" spans="1:8" x14ac:dyDescent="0.2">
      <c r="A232" s="4">
        <v>43100</v>
      </c>
      <c r="B232" s="3">
        <v>637</v>
      </c>
      <c r="C232" s="3">
        <v>38</v>
      </c>
      <c r="D232" s="3">
        <v>459</v>
      </c>
      <c r="E232" s="3">
        <v>140</v>
      </c>
      <c r="H232" s="3"/>
    </row>
    <row r="233" spans="1:8" x14ac:dyDescent="0.2">
      <c r="A233" s="4">
        <v>43190</v>
      </c>
      <c r="B233" s="3">
        <v>567</v>
      </c>
      <c r="C233" s="3">
        <v>21</v>
      </c>
      <c r="D233" s="3">
        <v>318</v>
      </c>
      <c r="E233" s="3">
        <v>228</v>
      </c>
      <c r="H233" s="3"/>
    </row>
    <row r="234" spans="1:8" x14ac:dyDescent="0.2">
      <c r="A234" s="4">
        <v>43281</v>
      </c>
      <c r="B234" s="3">
        <v>618</v>
      </c>
      <c r="C234" s="3">
        <v>33</v>
      </c>
      <c r="D234" s="3">
        <v>304</v>
      </c>
      <c r="E234" s="3">
        <v>282</v>
      </c>
      <c r="H234" s="3"/>
    </row>
    <row r="235" spans="1:8" x14ac:dyDescent="0.2">
      <c r="A235" s="4">
        <v>43373</v>
      </c>
      <c r="B235" s="3">
        <v>822</v>
      </c>
      <c r="C235" s="3">
        <v>37</v>
      </c>
      <c r="D235" s="3">
        <v>443</v>
      </c>
      <c r="E235" s="3">
        <v>342</v>
      </c>
      <c r="H235" s="3"/>
    </row>
    <row r="236" spans="1:8" x14ac:dyDescent="0.2">
      <c r="A236" s="4">
        <v>43465</v>
      </c>
      <c r="B236" s="3">
        <v>755</v>
      </c>
      <c r="C236" s="3">
        <v>39</v>
      </c>
      <c r="D236" s="3">
        <v>412</v>
      </c>
      <c r="E236" s="3">
        <v>305</v>
      </c>
      <c r="H236" s="3"/>
    </row>
    <row r="237" spans="1:8" x14ac:dyDescent="0.2">
      <c r="A237" s="4">
        <v>43555</v>
      </c>
      <c r="B237" s="3">
        <v>814</v>
      </c>
      <c r="C237" s="3">
        <v>41</v>
      </c>
      <c r="D237" s="3">
        <v>432</v>
      </c>
      <c r="E237" s="3">
        <v>341</v>
      </c>
      <c r="H237" s="3"/>
    </row>
    <row r="238" spans="1:8" x14ac:dyDescent="0.2">
      <c r="A238" s="4">
        <v>43646</v>
      </c>
      <c r="B238" s="3">
        <v>823</v>
      </c>
      <c r="C238" s="3">
        <v>55</v>
      </c>
      <c r="D238" s="3">
        <v>414</v>
      </c>
      <c r="E238" s="3">
        <v>353</v>
      </c>
      <c r="H238" s="3"/>
    </row>
    <row r="239" spans="1:8" x14ac:dyDescent="0.2">
      <c r="A239" s="4">
        <v>43738</v>
      </c>
      <c r="B239" s="3">
        <v>846</v>
      </c>
      <c r="C239" s="3">
        <v>43</v>
      </c>
      <c r="D239" s="3">
        <v>347</v>
      </c>
      <c r="E239" s="3">
        <v>456</v>
      </c>
      <c r="H239" s="3"/>
    </row>
    <row r="240" spans="1:8" x14ac:dyDescent="0.2">
      <c r="A240" s="4">
        <v>43830</v>
      </c>
      <c r="B240" s="3">
        <v>941</v>
      </c>
      <c r="C240" s="3">
        <v>49</v>
      </c>
      <c r="D240" s="3">
        <v>459</v>
      </c>
      <c r="E240" s="3">
        <v>433</v>
      </c>
      <c r="H240" s="3"/>
    </row>
    <row r="241" spans="1:8" x14ac:dyDescent="0.2">
      <c r="A241" s="4">
        <v>43921</v>
      </c>
      <c r="B241" s="3">
        <v>761</v>
      </c>
      <c r="C241" s="3">
        <v>37</v>
      </c>
      <c r="D241" s="3">
        <v>339</v>
      </c>
      <c r="E241" s="3">
        <v>386</v>
      </c>
      <c r="H241" s="3"/>
    </row>
    <row r="242" spans="1:8" x14ac:dyDescent="0.2">
      <c r="A242" s="4">
        <v>44012</v>
      </c>
      <c r="B242" s="3">
        <v>666</v>
      </c>
      <c r="C242" s="3">
        <v>30</v>
      </c>
      <c r="D242" s="3">
        <v>358</v>
      </c>
      <c r="E242" s="3">
        <v>279</v>
      </c>
      <c r="H242" s="3"/>
    </row>
    <row r="243" spans="1:8" x14ac:dyDescent="0.2">
      <c r="A243" s="4">
        <v>44104</v>
      </c>
      <c r="B243" s="3">
        <v>646</v>
      </c>
      <c r="C243" s="3">
        <v>17</v>
      </c>
      <c r="D243" s="3">
        <v>365</v>
      </c>
      <c r="E243" s="3">
        <v>264</v>
      </c>
      <c r="H243" s="3"/>
    </row>
    <row r="244" spans="1:8" x14ac:dyDescent="0.2">
      <c r="A244" s="4">
        <v>44196</v>
      </c>
      <c r="B244" s="3">
        <v>659</v>
      </c>
      <c r="C244" s="3">
        <v>27</v>
      </c>
      <c r="D244" s="3">
        <v>292</v>
      </c>
      <c r="E244" s="3">
        <v>340</v>
      </c>
      <c r="H244" s="3"/>
    </row>
    <row r="245" spans="1:8" x14ac:dyDescent="0.2">
      <c r="A245" s="4">
        <v>44286</v>
      </c>
      <c r="B245" s="3">
        <v>694</v>
      </c>
      <c r="C245" s="3">
        <v>20</v>
      </c>
      <c r="D245" s="3">
        <v>355</v>
      </c>
      <c r="E245" s="3">
        <v>320</v>
      </c>
      <c r="H245" s="3"/>
    </row>
    <row r="246" spans="1:8" x14ac:dyDescent="0.2">
      <c r="A246" s="4">
        <v>44377</v>
      </c>
      <c r="B246" s="3">
        <v>707</v>
      </c>
      <c r="C246" s="3">
        <v>17</v>
      </c>
      <c r="D246" s="3">
        <v>336</v>
      </c>
      <c r="E246" s="3">
        <v>354</v>
      </c>
      <c r="H246" s="3"/>
    </row>
    <row r="247" spans="1:8" x14ac:dyDescent="0.2">
      <c r="A247" s="4">
        <v>44469</v>
      </c>
      <c r="B247" s="3">
        <v>741</v>
      </c>
      <c r="C247" s="3">
        <v>18</v>
      </c>
      <c r="D247" s="3">
        <v>335</v>
      </c>
      <c r="E247" s="3">
        <v>388</v>
      </c>
      <c r="H247" s="3"/>
    </row>
    <row r="248" spans="1:8" x14ac:dyDescent="0.2">
      <c r="A248" s="4">
        <v>44561</v>
      </c>
      <c r="B248" s="3">
        <v>497</v>
      </c>
      <c r="C248" s="3">
        <v>17</v>
      </c>
      <c r="D248" s="3">
        <v>214</v>
      </c>
      <c r="E248" s="3">
        <v>266</v>
      </c>
      <c r="H248" s="3"/>
    </row>
    <row r="249" spans="1:8" x14ac:dyDescent="0.2">
      <c r="A249" s="4">
        <v>44651</v>
      </c>
      <c r="B249" s="3">
        <v>546</v>
      </c>
      <c r="C249" s="3">
        <v>3</v>
      </c>
      <c r="D249" s="3">
        <v>270</v>
      </c>
      <c r="E249" s="3">
        <v>272</v>
      </c>
      <c r="H249" s="3"/>
    </row>
    <row r="250" spans="1:8" x14ac:dyDescent="0.2">
      <c r="A250" s="4">
        <v>44742</v>
      </c>
      <c r="B250" s="3">
        <v>478</v>
      </c>
      <c r="C250" s="3">
        <v>12</v>
      </c>
      <c r="D250" s="3">
        <v>247</v>
      </c>
      <c r="E250" s="3">
        <v>219</v>
      </c>
      <c r="H250" s="3"/>
    </row>
    <row r="251" spans="1:8" x14ac:dyDescent="0.2">
      <c r="A251" s="4">
        <v>44834</v>
      </c>
      <c r="B251" s="3">
        <v>564</v>
      </c>
      <c r="C251" s="3">
        <v>16</v>
      </c>
      <c r="D251" s="3">
        <v>279</v>
      </c>
      <c r="E251" s="3">
        <v>270</v>
      </c>
      <c r="H251" s="3"/>
    </row>
    <row r="252" spans="1:8" x14ac:dyDescent="0.2">
      <c r="A252" s="4">
        <v>44926</v>
      </c>
      <c r="B252" s="3">
        <v>836</v>
      </c>
      <c r="C252" s="3">
        <v>-5</v>
      </c>
      <c r="D252" s="3">
        <v>359</v>
      </c>
      <c r="E252" s="3">
        <v>481</v>
      </c>
      <c r="H252" s="3"/>
    </row>
    <row r="253" spans="1:8" x14ac:dyDescent="0.2">
      <c r="A253" s="4">
        <v>45016</v>
      </c>
      <c r="B253" s="3">
        <v>495</v>
      </c>
      <c r="C253" s="3">
        <v>13</v>
      </c>
      <c r="D253" s="3">
        <v>271</v>
      </c>
      <c r="E253" s="3">
        <v>211</v>
      </c>
      <c r="H253" s="3"/>
    </row>
    <row r="254" spans="1:8" x14ac:dyDescent="0.2">
      <c r="A254" s="4">
        <v>45107</v>
      </c>
      <c r="B254" s="3">
        <v>520</v>
      </c>
      <c r="C254" s="3">
        <v>13</v>
      </c>
      <c r="D254" s="3">
        <v>282</v>
      </c>
      <c r="E254" s="3">
        <v>226</v>
      </c>
      <c r="H254" s="3"/>
    </row>
    <row r="255" spans="1:8" x14ac:dyDescent="0.2">
      <c r="A255" s="4">
        <v>45199</v>
      </c>
      <c r="B255" s="3">
        <v>511</v>
      </c>
      <c r="C255" s="3">
        <v>9</v>
      </c>
      <c r="D255" s="3">
        <v>264</v>
      </c>
      <c r="E255" s="3">
        <v>238</v>
      </c>
      <c r="H255" s="3"/>
    </row>
    <row r="256" spans="1:8" x14ac:dyDescent="0.2">
      <c r="A256" s="4">
        <v>45291</v>
      </c>
      <c r="B256" s="3">
        <v>613</v>
      </c>
      <c r="C256" s="3">
        <v>27</v>
      </c>
      <c r="D256" s="3">
        <v>263</v>
      </c>
      <c r="E256" s="3">
        <v>322</v>
      </c>
      <c r="H256" s="3"/>
    </row>
    <row r="257" spans="1:8" x14ac:dyDescent="0.2">
      <c r="A257" s="4">
        <v>45382</v>
      </c>
      <c r="B257" s="3">
        <v>496</v>
      </c>
      <c r="C257" s="3">
        <v>15</v>
      </c>
      <c r="D257" s="3">
        <v>312</v>
      </c>
      <c r="E257" s="3">
        <v>168</v>
      </c>
      <c r="H257" s="3"/>
    </row>
    <row r="258" spans="1:8" x14ac:dyDescent="0.2">
      <c r="A258" s="4">
        <v>45473</v>
      </c>
      <c r="B258" s="3">
        <v>465</v>
      </c>
      <c r="C258" s="3">
        <v>20</v>
      </c>
      <c r="D258" s="3">
        <v>288</v>
      </c>
      <c r="E258" s="3">
        <v>157</v>
      </c>
      <c r="H258" s="3"/>
    </row>
    <row r="259" spans="1:8" x14ac:dyDescent="0.2">
      <c r="A259" s="4">
        <v>45565</v>
      </c>
      <c r="B259" s="3">
        <v>432</v>
      </c>
      <c r="C259" s="3">
        <v>17</v>
      </c>
      <c r="D259" s="3">
        <v>291</v>
      </c>
      <c r="E259" s="3">
        <v>124</v>
      </c>
      <c r="H259" s="3"/>
    </row>
    <row r="260" spans="1:8" x14ac:dyDescent="0.2">
      <c r="A260" s="4">
        <v>45657</v>
      </c>
      <c r="B260" s="3">
        <v>411</v>
      </c>
      <c r="C260" s="3">
        <v>28</v>
      </c>
      <c r="D260" s="3">
        <v>280</v>
      </c>
      <c r="E260" s="3">
        <v>104</v>
      </c>
      <c r="H260" s="3"/>
    </row>
    <row r="261" spans="1:8" x14ac:dyDescent="0.2">
      <c r="A261" s="4">
        <v>45747</v>
      </c>
      <c r="B261" s="3">
        <v>514</v>
      </c>
      <c r="C261" s="3">
        <v>15</v>
      </c>
      <c r="D261" s="3">
        <v>286</v>
      </c>
      <c r="E261" s="3">
        <v>213</v>
      </c>
      <c r="H261" s="3"/>
    </row>
    <row r="262" spans="1:8" x14ac:dyDescent="0.2">
      <c r="A262" s="4">
        <v>45838</v>
      </c>
      <c r="B262" s="3">
        <v>609</v>
      </c>
      <c r="C262" s="3">
        <v>28</v>
      </c>
      <c r="D262" s="3">
        <v>284</v>
      </c>
      <c r="E262" s="3">
        <v>297</v>
      </c>
      <c r="H262" s="3"/>
    </row>
    <row r="263" spans="1:8" x14ac:dyDescent="0.2">
      <c r="A263" s="4">
        <v>45930</v>
      </c>
      <c r="B263" s="3">
        <v>442</v>
      </c>
      <c r="C263" s="3">
        <v>33</v>
      </c>
      <c r="D263" s="3">
        <v>286</v>
      </c>
      <c r="E263" s="3">
        <v>123</v>
      </c>
      <c r="H263" s="3"/>
    </row>
    <row r="264" spans="1:8" x14ac:dyDescent="0.2">
      <c r="A264" s="4">
        <v>46022</v>
      </c>
      <c r="B264" s="3">
        <v>529</v>
      </c>
      <c r="C264" s="3">
        <v>53</v>
      </c>
      <c r="D264" s="3">
        <v>349</v>
      </c>
      <c r="E264" s="3">
        <v>127</v>
      </c>
      <c r="H264" s="3"/>
    </row>
    <row r="265" spans="1:8" x14ac:dyDescent="0.2">
      <c r="A265" s="4">
        <v>46112</v>
      </c>
      <c r="B265" s="3">
        <v>516</v>
      </c>
      <c r="C265" s="3">
        <v>35</v>
      </c>
      <c r="D265" s="3">
        <v>335</v>
      </c>
      <c r="E265" s="3">
        <v>146</v>
      </c>
      <c r="H265" s="3"/>
    </row>
    <row r="266" spans="1:8" ht="21" x14ac:dyDescent="0.25">
      <c r="A266" s="8" t="s">
        <v>21</v>
      </c>
      <c r="B266" s="3"/>
      <c r="C266" s="3"/>
      <c r="D266" s="3"/>
      <c r="E266" s="3"/>
      <c r="H266" s="3"/>
    </row>
    <row r="267" spans="1:8" ht="19" x14ac:dyDescent="0.25">
      <c r="A267" s="2" t="s">
        <v>0</v>
      </c>
      <c r="B267" s="2" t="s">
        <v>14</v>
      </c>
      <c r="C267" s="2" t="s">
        <v>15</v>
      </c>
      <c r="D267" s="2" t="s">
        <v>16</v>
      </c>
      <c r="E267" s="2" t="s">
        <v>17</v>
      </c>
      <c r="F267" s="2" t="s">
        <v>18</v>
      </c>
      <c r="G267" s="2" t="s">
        <v>19</v>
      </c>
    </row>
    <row r="268" spans="1:8" x14ac:dyDescent="0.2">
      <c r="A268" s="1">
        <v>44196</v>
      </c>
      <c r="B268">
        <v>120667</v>
      </c>
      <c r="C268">
        <v>57492</v>
      </c>
      <c r="D268">
        <v>63176</v>
      </c>
      <c r="E268">
        <v>27068</v>
      </c>
      <c r="F268">
        <v>11793</v>
      </c>
      <c r="G268">
        <v>15277</v>
      </c>
    </row>
    <row r="269" spans="1:8" x14ac:dyDescent="0.2">
      <c r="A269" s="1">
        <v>44561</v>
      </c>
      <c r="B269">
        <v>107325</v>
      </c>
      <c r="C269">
        <v>38521</v>
      </c>
      <c r="D269">
        <v>68807</v>
      </c>
      <c r="E269">
        <v>27930</v>
      </c>
      <c r="F269">
        <v>12614</v>
      </c>
      <c r="G269">
        <v>15315</v>
      </c>
    </row>
    <row r="270" spans="1:8" x14ac:dyDescent="0.2">
      <c r="A270" s="1">
        <v>44926</v>
      </c>
      <c r="B270">
        <v>201125</v>
      </c>
      <c r="C270">
        <v>131401</v>
      </c>
      <c r="D270">
        <v>69723</v>
      </c>
      <c r="E270">
        <v>29366</v>
      </c>
      <c r="F270">
        <v>14007</v>
      </c>
      <c r="G270">
        <v>15359</v>
      </c>
    </row>
    <row r="271" spans="1:8" x14ac:dyDescent="0.2">
      <c r="A271" s="1">
        <v>45291</v>
      </c>
      <c r="B271">
        <v>424102</v>
      </c>
      <c r="C271">
        <v>371837</v>
      </c>
      <c r="D271">
        <v>52265</v>
      </c>
      <c r="E271">
        <v>30010</v>
      </c>
      <c r="F271">
        <v>14910</v>
      </c>
      <c r="G271">
        <v>15101</v>
      </c>
    </row>
    <row r="272" spans="1:8" x14ac:dyDescent="0.2">
      <c r="A272" s="1">
        <v>45657</v>
      </c>
      <c r="B272">
        <v>450872</v>
      </c>
      <c r="C272">
        <v>400085</v>
      </c>
      <c r="D272">
        <v>50786</v>
      </c>
      <c r="E272">
        <v>31426</v>
      </c>
      <c r="F272">
        <v>15286</v>
      </c>
      <c r="G272">
        <v>16140</v>
      </c>
    </row>
    <row r="273" spans="1:7" x14ac:dyDescent="0.2">
      <c r="A273" s="1">
        <v>46022</v>
      </c>
      <c r="B273">
        <v>412105</v>
      </c>
      <c r="C273">
        <v>345322</v>
      </c>
      <c r="D273">
        <v>66784</v>
      </c>
      <c r="E273">
        <v>33722</v>
      </c>
      <c r="F273">
        <v>17440</v>
      </c>
      <c r="G273">
        <v>16280</v>
      </c>
    </row>
  </sheetData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86AF-523F-5446-943C-0FF55E16CB1E}">
  <sheetPr>
    <tabColor theme="4"/>
  </sheetPr>
  <dimension ref="A1:H38"/>
  <sheetViews>
    <sheetView showGridLines="0" workbookViewId="0">
      <selection activeCell="D44" sqref="D44"/>
    </sheetView>
  </sheetViews>
  <sheetFormatPr baseColWidth="10" defaultRowHeight="16" x14ac:dyDescent="0.2"/>
  <cols>
    <col min="1" max="1" width="58" customWidth="1"/>
    <col min="4" max="4" width="17.1640625" customWidth="1"/>
    <col min="5" max="5" width="14.83203125" customWidth="1"/>
  </cols>
  <sheetData>
    <row r="1" spans="1:5" x14ac:dyDescent="0.2">
      <c r="A1" s="14" t="s">
        <v>32</v>
      </c>
    </row>
    <row r="3" spans="1:5" ht="17" customHeight="1" x14ac:dyDescent="0.2">
      <c r="A3" s="189" t="s">
        <v>33</v>
      </c>
      <c r="B3" s="190"/>
    </row>
    <row r="4" spans="1:5" x14ac:dyDescent="0.2">
      <c r="A4" s="10" t="s">
        <v>267</v>
      </c>
      <c r="B4" s="11">
        <v>3.7499999999999999E-2</v>
      </c>
    </row>
    <row r="5" spans="1:5" x14ac:dyDescent="0.2">
      <c r="A5" s="10"/>
      <c r="B5" s="12"/>
    </row>
    <row r="6" spans="1:5" ht="17" customHeight="1" x14ac:dyDescent="0.2">
      <c r="A6" s="189" t="s">
        <v>22</v>
      </c>
      <c r="B6" s="190"/>
    </row>
    <row r="7" spans="1:5" x14ac:dyDescent="0.2">
      <c r="A7" s="10" t="s">
        <v>34</v>
      </c>
      <c r="B7" s="11">
        <v>3.5000000000000003E-2</v>
      </c>
      <c r="D7" s="10" t="s">
        <v>149</v>
      </c>
      <c r="E7" s="206">
        <f>PL_MODEL!G6</f>
        <v>4754.0591787439589</v>
      </c>
    </row>
    <row r="8" spans="1:5" x14ac:dyDescent="0.2">
      <c r="A8" s="10" t="s">
        <v>35</v>
      </c>
      <c r="B8" s="13">
        <v>0.05</v>
      </c>
      <c r="D8" s="10" t="s">
        <v>59</v>
      </c>
      <c r="E8" s="206">
        <f>PL_MODEL!G10</f>
        <v>5588.8635869565196</v>
      </c>
    </row>
    <row r="9" spans="1:5" ht="17" customHeight="1" x14ac:dyDescent="0.2">
      <c r="A9" s="189" t="s">
        <v>24</v>
      </c>
      <c r="B9" s="190"/>
      <c r="D9" s="10" t="s">
        <v>65</v>
      </c>
      <c r="E9" s="206">
        <f>PL_MODEL!G16</f>
        <v>1953.6523332595498</v>
      </c>
    </row>
    <row r="10" spans="1:5" x14ac:dyDescent="0.2">
      <c r="A10" s="10" t="s">
        <v>36</v>
      </c>
      <c r="B10" s="13">
        <v>0.35</v>
      </c>
      <c r="D10" s="10" t="s">
        <v>66</v>
      </c>
      <c r="E10" s="206">
        <f>PL_MODEL!G17</f>
        <v>3635.2112536969698</v>
      </c>
    </row>
    <row r="11" spans="1:5" x14ac:dyDescent="0.2">
      <c r="A11" s="10" t="s">
        <v>37</v>
      </c>
      <c r="B11" s="13">
        <v>0.12</v>
      </c>
      <c r="D11" s="10" t="s">
        <v>67</v>
      </c>
      <c r="E11" s="206">
        <f>PL_MODEL!G18</f>
        <v>579.71014492753625</v>
      </c>
    </row>
    <row r="12" spans="1:5" x14ac:dyDescent="0.2">
      <c r="A12" s="10" t="s">
        <v>38</v>
      </c>
      <c r="B12" s="13">
        <v>0.08</v>
      </c>
      <c r="D12" s="10" t="s">
        <v>68</v>
      </c>
      <c r="E12" s="206">
        <f>PL_MODEL!G19</f>
        <v>3055.5011087694338</v>
      </c>
    </row>
    <row r="13" spans="1:5" x14ac:dyDescent="0.2">
      <c r="A13" s="10" t="s">
        <v>39</v>
      </c>
      <c r="B13" s="13">
        <v>0.05</v>
      </c>
      <c r="D13" s="10" t="s">
        <v>70</v>
      </c>
      <c r="E13" s="206">
        <f>PL_MODEL!G21</f>
        <v>2291.6258315770756</v>
      </c>
    </row>
    <row r="14" spans="1:5" x14ac:dyDescent="0.2">
      <c r="A14" s="136" t="s">
        <v>262</v>
      </c>
      <c r="B14" s="138">
        <v>0.25</v>
      </c>
    </row>
    <row r="15" spans="1:5" x14ac:dyDescent="0.2">
      <c r="A15" s="137" t="s">
        <v>263</v>
      </c>
      <c r="B15" s="139">
        <v>0.19</v>
      </c>
    </row>
    <row r="16" spans="1:5" ht="17" customHeight="1" x14ac:dyDescent="0.2">
      <c r="A16" s="189" t="s">
        <v>40</v>
      </c>
      <c r="B16" s="191"/>
    </row>
    <row r="17" spans="1:8" x14ac:dyDescent="0.2">
      <c r="A17" s="10" t="s">
        <v>41</v>
      </c>
      <c r="B17" s="12">
        <v>150</v>
      </c>
    </row>
    <row r="18" spans="1:8" x14ac:dyDescent="0.2">
      <c r="A18" s="10" t="s">
        <v>165</v>
      </c>
      <c r="B18" s="101">
        <v>0.6</v>
      </c>
    </row>
    <row r="19" spans="1:8" ht="17" customHeight="1" x14ac:dyDescent="0.2">
      <c r="A19" s="189" t="s">
        <v>42</v>
      </c>
      <c r="B19" s="190"/>
    </row>
    <row r="20" spans="1:8" x14ac:dyDescent="0.2">
      <c r="A20" s="10" t="s">
        <v>43</v>
      </c>
      <c r="B20" s="11">
        <v>4.0000000000000001E-3</v>
      </c>
    </row>
    <row r="22" spans="1:8" x14ac:dyDescent="0.2">
      <c r="A22" s="205" t="s">
        <v>344</v>
      </c>
      <c r="B22" s="10"/>
    </row>
    <row r="23" spans="1:8" x14ac:dyDescent="0.2">
      <c r="A23" s="10" t="s">
        <v>268</v>
      </c>
      <c r="B23" s="101">
        <v>1.4999999999999999E-2</v>
      </c>
    </row>
    <row r="24" spans="1:8" x14ac:dyDescent="0.2">
      <c r="A24" s="10" t="s">
        <v>269</v>
      </c>
      <c r="B24" s="101">
        <v>0.65</v>
      </c>
    </row>
    <row r="25" spans="1:8" x14ac:dyDescent="0.2">
      <c r="A25" s="10" t="s">
        <v>270</v>
      </c>
      <c r="B25" s="101">
        <v>0.03</v>
      </c>
    </row>
    <row r="26" spans="1:8" x14ac:dyDescent="0.2">
      <c r="A26" s="10" t="s">
        <v>271</v>
      </c>
      <c r="B26" s="101">
        <v>4.0000000000000001E-3</v>
      </c>
    </row>
    <row r="27" spans="1:8" x14ac:dyDescent="0.2">
      <c r="A27" s="10" t="s">
        <v>272</v>
      </c>
      <c r="B27" s="101">
        <v>0.18</v>
      </c>
    </row>
    <row r="28" spans="1:8" x14ac:dyDescent="0.2">
      <c r="A28" s="10" t="s">
        <v>273</v>
      </c>
      <c r="B28" s="101">
        <v>0.05</v>
      </c>
    </row>
    <row r="29" spans="1:8" x14ac:dyDescent="0.2">
      <c r="A29" s="10" t="s">
        <v>274</v>
      </c>
      <c r="B29" s="101">
        <v>0.9</v>
      </c>
    </row>
    <row r="30" spans="1:8" x14ac:dyDescent="0.2">
      <c r="A30" s="157" t="s">
        <v>300</v>
      </c>
      <c r="B30" s="164"/>
      <c r="C30" s="164"/>
      <c r="D30" s="164"/>
      <c r="E30" s="164"/>
      <c r="F30" s="164"/>
      <c r="G30" s="164"/>
      <c r="H30" s="164"/>
    </row>
    <row r="31" spans="1:8" x14ac:dyDescent="0.2">
      <c r="A31" s="158" t="s">
        <v>301</v>
      </c>
      <c r="B31" s="159">
        <v>0.5</v>
      </c>
      <c r="C31" s="159">
        <v>0.55000000000000004</v>
      </c>
      <c r="D31" s="159">
        <v>0.6</v>
      </c>
      <c r="E31" s="159">
        <v>0.65</v>
      </c>
      <c r="F31" s="159">
        <v>0.7</v>
      </c>
      <c r="G31" s="159">
        <v>0.75</v>
      </c>
      <c r="H31" s="159">
        <v>0.8</v>
      </c>
    </row>
    <row r="32" spans="1:8" x14ac:dyDescent="0.2">
      <c r="A32" s="160">
        <v>1.2E-2</v>
      </c>
      <c r="B32" s="161">
        <f>((( (BALANCE_SHEET!$K$5+BALANCE_SHEET!$K$6)*(PL_MODEL!$K$29+$A32)-(BALANCE_SHEET!$K$10+BALANCE_SHEET!$K$11)*(PL_MODEL!$K$29*B$31))*(1+$B$8)+(BALANCE_SHEET!$K$5+BALANCE_SHEET!$K$6)*$B$26)-(((BALANCE_SHEET!$B$5+BALANCE_SHEET!$B$6)*(PL_MODEL!$B$29+$A32)-(BALANCE_SHEET!$B$10+BALANCE_SHEET!$B$11)*(PL_MODEL!$B$29*B$31))*(1+$B$8)+(BALANCE_SHEET!$B$5+BALANCE_SHEET!$B$6)*$B$26)*($B$10+$B$11+$B$12+$B$13)*(1+$B$25)^9-BALANCE_SHEET!$K$5*$B$20)*(1-$B$14)</f>
        <v>2577.8873986586887</v>
      </c>
      <c r="C32" s="161">
        <f>((( (BALANCE_SHEET!$K$5+BALANCE_SHEET!$K$6)*(PL_MODEL!$K$29+$A32)-(BALANCE_SHEET!$K$10+BALANCE_SHEET!$K$11)*(PL_MODEL!$K$29*C$31))*(1+$B$8)+(BALANCE_SHEET!$K$5+BALANCE_SHEET!$K$6)*$B$26)-(((BALANCE_SHEET!$B$5+BALANCE_SHEET!$B$6)*(PL_MODEL!$B$29+$A32)-(BALANCE_SHEET!$B$10+BALANCE_SHEET!$B$11)*(PL_MODEL!$B$29*C$31))*(1+$B$8)+(BALANCE_SHEET!$B$5+BALANCE_SHEET!$B$6)*$B$26)*($B$10+$B$11+$B$12+$B$13)*(1+$B$25)^9-BALANCE_SHEET!$K$5*$B$20)*(1-$B$14)</f>
        <v>2347.0587625510334</v>
      </c>
      <c r="D32" s="161">
        <f>((( (BALANCE_SHEET!$K$5+BALANCE_SHEET!$K$6)*(PL_MODEL!$K$29+$A32)-(BALANCE_SHEET!$K$10+BALANCE_SHEET!$K$11)*(PL_MODEL!$K$29*D$31))*(1+$B$8)+(BALANCE_SHEET!$K$5+BALANCE_SHEET!$K$6)*$B$26)-(((BALANCE_SHEET!$B$5+BALANCE_SHEET!$B$6)*(PL_MODEL!$B$29+$A32)-(BALANCE_SHEET!$B$10+BALANCE_SHEET!$B$11)*(PL_MODEL!$B$29*D$31))*(1+$B$8)+(BALANCE_SHEET!$B$5+BALANCE_SHEET!$B$6)*$B$26)*($B$10+$B$11+$B$12+$B$13)*(1+$B$25)^9-BALANCE_SHEET!$K$5*$B$20)*(1-$B$14)</f>
        <v>2116.2301264433781</v>
      </c>
      <c r="E32" s="161">
        <f>((( (BALANCE_SHEET!$K$5+BALANCE_SHEET!$K$6)*(PL_MODEL!$K$29+$A32)-(BALANCE_SHEET!$K$10+BALANCE_SHEET!$K$11)*(PL_MODEL!$K$29*E$31))*(1+$B$8)+(BALANCE_SHEET!$K$5+BALANCE_SHEET!$K$6)*$B$26)-(((BALANCE_SHEET!$B$5+BALANCE_SHEET!$B$6)*(PL_MODEL!$B$29+$A32)-(BALANCE_SHEET!$B$10+BALANCE_SHEET!$B$11)*(PL_MODEL!$B$29*E$31))*(1+$B$8)+(BALANCE_SHEET!$B$5+BALANCE_SHEET!$B$6)*$B$26)*($B$10+$B$11+$B$12+$B$13)*(1+$B$25)^9-BALANCE_SHEET!$K$5*$B$20)*(1-$B$14)</f>
        <v>1885.4014903357233</v>
      </c>
      <c r="F32" s="161">
        <f>((( (BALANCE_SHEET!$K$5+BALANCE_SHEET!$K$6)*(PL_MODEL!$K$29+$A32)-(BALANCE_SHEET!$K$10+BALANCE_SHEET!$K$11)*(PL_MODEL!$K$29*F$31))*(1+$B$8)+(BALANCE_SHEET!$K$5+BALANCE_SHEET!$K$6)*$B$26)-(((BALANCE_SHEET!$B$5+BALANCE_SHEET!$B$6)*(PL_MODEL!$B$29+$A32)-(BALANCE_SHEET!$B$10+BALANCE_SHEET!$B$11)*(PL_MODEL!$B$29*F$31))*(1+$B$8)+(BALANCE_SHEET!$B$5+BALANCE_SHEET!$B$6)*$B$26)*($B$10+$B$11+$B$12+$B$13)*(1+$B$25)^9-BALANCE_SHEET!$K$5*$B$20)*(1-$B$14)</f>
        <v>1654.5728542280685</v>
      </c>
      <c r="G32" s="161">
        <f>((( (BALANCE_SHEET!$K$5+BALANCE_SHEET!$K$6)*(PL_MODEL!$K$29+$A32)-(BALANCE_SHEET!$K$10+BALANCE_SHEET!$K$11)*(PL_MODEL!$K$29*G$31))*(1+$B$8)+(BALANCE_SHEET!$K$5+BALANCE_SHEET!$K$6)*$B$26)-(((BALANCE_SHEET!$B$5+BALANCE_SHEET!$B$6)*(PL_MODEL!$B$29+$A32)-(BALANCE_SHEET!$B$10+BALANCE_SHEET!$B$11)*(PL_MODEL!$B$29*G$31))*(1+$B$8)+(BALANCE_SHEET!$B$5+BALANCE_SHEET!$B$6)*$B$26)*($B$10+$B$11+$B$12+$B$13)*(1+$B$25)^9-BALANCE_SHEET!$K$5*$B$20)*(1-$B$14)</f>
        <v>1423.7442181204137</v>
      </c>
      <c r="H32" s="161">
        <f>((( (BALANCE_SHEET!$K$5+BALANCE_SHEET!$K$6)*(PL_MODEL!$K$29+$A32)-(BALANCE_SHEET!$K$10+BALANCE_SHEET!$K$11)*(PL_MODEL!$K$29*H$31))*(1+$B$8)+(BALANCE_SHEET!$K$5+BALANCE_SHEET!$K$6)*$B$26)-(((BALANCE_SHEET!$B$5+BALANCE_SHEET!$B$6)*(PL_MODEL!$B$29+$A32)-(BALANCE_SHEET!$B$10+BALANCE_SHEET!$B$11)*(PL_MODEL!$B$29*H$31))*(1+$B$8)+(BALANCE_SHEET!$B$5+BALANCE_SHEET!$B$6)*$B$26)*($B$10+$B$11+$B$12+$B$13)*(1+$B$25)^9-BALANCE_SHEET!$K$5*$B$20)*(1-$B$14)</f>
        <v>1192.9155820127589</v>
      </c>
    </row>
    <row r="33" spans="1:8" x14ac:dyDescent="0.2">
      <c r="A33" s="160">
        <v>1.2999999999999999E-2</v>
      </c>
      <c r="B33" s="161">
        <f>((( (BALANCE_SHEET!$K$5+BALANCE_SHEET!$K$6)*(PL_MODEL!$K$29+$A33)-(BALANCE_SHEET!$K$10+BALANCE_SHEET!$K$11)*(PL_MODEL!$K$29*B$31))*(1+$B$8)+(BALANCE_SHEET!$K$5+BALANCE_SHEET!$K$6)*$B$26)-(((BALANCE_SHEET!$B$5+BALANCE_SHEET!$B$6)*(PL_MODEL!$B$29+$A33)-(BALANCE_SHEET!$B$10+BALANCE_SHEET!$B$11)*(PL_MODEL!$B$29*B$31))*(1+$B$8)+(BALANCE_SHEET!$B$5+BALANCE_SHEET!$B$6)*$B$26)*($B$10+$B$11+$B$12+$B$13)*(1+$B$25)^9-BALANCE_SHEET!$K$5*$B$20)*(1-$B$14)</f>
        <v>2635.2977205427105</v>
      </c>
      <c r="C33" s="161">
        <f>((( (BALANCE_SHEET!$K$5+BALANCE_SHEET!$K$6)*(PL_MODEL!$K$29+$A33)-(BALANCE_SHEET!$K$10+BALANCE_SHEET!$K$11)*(PL_MODEL!$K$29*C$31))*(1+$B$8)+(BALANCE_SHEET!$K$5+BALANCE_SHEET!$K$6)*$B$26)-(((BALANCE_SHEET!$B$5+BALANCE_SHEET!$B$6)*(PL_MODEL!$B$29+$A33)-(BALANCE_SHEET!$B$10+BALANCE_SHEET!$B$11)*(PL_MODEL!$B$29*C$31))*(1+$B$8)+(BALANCE_SHEET!$B$5+BALANCE_SHEET!$B$6)*$B$26)*($B$10+$B$11+$B$12+$B$13)*(1+$B$25)^9-BALANCE_SHEET!$K$5*$B$20)*(1-$B$14)</f>
        <v>2404.4690844350553</v>
      </c>
      <c r="D33" s="161">
        <f>((( (BALANCE_SHEET!$K$5+BALANCE_SHEET!$K$6)*(PL_MODEL!$K$29+$A33)-(BALANCE_SHEET!$K$10+BALANCE_SHEET!$K$11)*(PL_MODEL!$K$29*D$31))*(1+$B$8)+(BALANCE_SHEET!$K$5+BALANCE_SHEET!$K$6)*$B$26)-(((BALANCE_SHEET!$B$5+BALANCE_SHEET!$B$6)*(PL_MODEL!$B$29+$A33)-(BALANCE_SHEET!$B$10+BALANCE_SHEET!$B$11)*(PL_MODEL!$B$29*D$31))*(1+$B$8)+(BALANCE_SHEET!$B$5+BALANCE_SHEET!$B$6)*$B$26)*($B$10+$B$11+$B$12+$B$13)*(1+$B$25)^9-BALANCE_SHEET!$K$5*$B$20)*(1-$B$14)</f>
        <v>2173.6404483274005</v>
      </c>
      <c r="E33" s="161">
        <f>((( (BALANCE_SHEET!$K$5+BALANCE_SHEET!$K$6)*(PL_MODEL!$K$29+$A33)-(BALANCE_SHEET!$K$10+BALANCE_SHEET!$K$11)*(PL_MODEL!$K$29*E$31))*(1+$B$8)+(BALANCE_SHEET!$K$5+BALANCE_SHEET!$K$6)*$B$26)-(((BALANCE_SHEET!$B$5+BALANCE_SHEET!$B$6)*(PL_MODEL!$B$29+$A33)-(BALANCE_SHEET!$B$10+BALANCE_SHEET!$B$11)*(PL_MODEL!$B$29*E$31))*(1+$B$8)+(BALANCE_SHEET!$B$5+BALANCE_SHEET!$B$6)*$B$26)*($B$10+$B$11+$B$12+$B$13)*(1+$B$25)^9-BALANCE_SHEET!$K$5*$B$20)*(1-$B$14)</f>
        <v>1942.8118122197457</v>
      </c>
      <c r="F33" s="161">
        <f>((( (BALANCE_SHEET!$K$5+BALANCE_SHEET!$K$6)*(PL_MODEL!$K$29+$A33)-(BALANCE_SHEET!$K$10+BALANCE_SHEET!$K$11)*(PL_MODEL!$K$29*F$31))*(1+$B$8)+(BALANCE_SHEET!$K$5+BALANCE_SHEET!$K$6)*$B$26)-(((BALANCE_SHEET!$B$5+BALANCE_SHEET!$B$6)*(PL_MODEL!$B$29+$A33)-(BALANCE_SHEET!$B$10+BALANCE_SHEET!$B$11)*(PL_MODEL!$B$29*F$31))*(1+$B$8)+(BALANCE_SHEET!$B$5+BALANCE_SHEET!$B$6)*$B$26)*($B$10+$B$11+$B$12+$B$13)*(1+$B$25)^9-BALANCE_SHEET!$K$5*$B$20)*(1-$B$14)</f>
        <v>1711.9831761120906</v>
      </c>
      <c r="G33" s="161">
        <f>((( (BALANCE_SHEET!$K$5+BALANCE_SHEET!$K$6)*(PL_MODEL!$K$29+$A33)-(BALANCE_SHEET!$K$10+BALANCE_SHEET!$K$11)*(PL_MODEL!$K$29*G$31))*(1+$B$8)+(BALANCE_SHEET!$K$5+BALANCE_SHEET!$K$6)*$B$26)-(((BALANCE_SHEET!$B$5+BALANCE_SHEET!$B$6)*(PL_MODEL!$B$29+$A33)-(BALANCE_SHEET!$B$10+BALANCE_SHEET!$B$11)*(PL_MODEL!$B$29*G$31))*(1+$B$8)+(BALANCE_SHEET!$B$5+BALANCE_SHEET!$B$6)*$B$26)*($B$10+$B$11+$B$12+$B$13)*(1+$B$25)^9-BALANCE_SHEET!$K$5*$B$20)*(1-$B$14)</f>
        <v>1481.1545400044361</v>
      </c>
      <c r="H33" s="161">
        <f>((( (BALANCE_SHEET!$K$5+BALANCE_SHEET!$K$6)*(PL_MODEL!$K$29+$A33)-(BALANCE_SHEET!$K$10+BALANCE_SHEET!$K$11)*(PL_MODEL!$K$29*H$31))*(1+$B$8)+(BALANCE_SHEET!$K$5+BALANCE_SHEET!$K$6)*$B$26)-(((BALANCE_SHEET!$B$5+BALANCE_SHEET!$B$6)*(PL_MODEL!$B$29+$A33)-(BALANCE_SHEET!$B$10+BALANCE_SHEET!$B$11)*(PL_MODEL!$B$29*H$31))*(1+$B$8)+(BALANCE_SHEET!$B$5+BALANCE_SHEET!$B$6)*$B$26)*($B$10+$B$11+$B$12+$B$13)*(1+$B$25)^9-BALANCE_SHEET!$K$5*$B$20)*(1-$B$14)</f>
        <v>1250.3259038967808</v>
      </c>
    </row>
    <row r="34" spans="1:8" x14ac:dyDescent="0.2">
      <c r="A34" s="160">
        <v>1.4E-2</v>
      </c>
      <c r="B34" s="161">
        <f>((( (BALANCE_SHEET!$K$5+BALANCE_SHEET!$K$6)*(PL_MODEL!$K$29+$A34)-(BALANCE_SHEET!$K$10+BALANCE_SHEET!$K$11)*(PL_MODEL!$K$29*B$31))*(1+$B$8)+(BALANCE_SHEET!$K$5+BALANCE_SHEET!$K$6)*$B$26)-(((BALANCE_SHEET!$B$5+BALANCE_SHEET!$B$6)*(PL_MODEL!$B$29+$A34)-(BALANCE_SHEET!$B$10+BALANCE_SHEET!$B$11)*(PL_MODEL!$B$29*B$31))*(1+$B$8)+(BALANCE_SHEET!$B$5+BALANCE_SHEET!$B$6)*$B$26)*($B$10+$B$11+$B$12+$B$13)*(1+$B$25)^9-BALANCE_SHEET!$K$5*$B$20)*(1-$B$14)</f>
        <v>2692.7080424267324</v>
      </c>
      <c r="C34" s="161">
        <f>((( (BALANCE_SHEET!$K$5+BALANCE_SHEET!$K$6)*(PL_MODEL!$K$29+$A34)-(BALANCE_SHEET!$K$10+BALANCE_SHEET!$K$11)*(PL_MODEL!$K$29*C$31))*(1+$B$8)+(BALANCE_SHEET!$K$5+BALANCE_SHEET!$K$6)*$B$26)-(((BALANCE_SHEET!$B$5+BALANCE_SHEET!$B$6)*(PL_MODEL!$B$29+$A34)-(BALANCE_SHEET!$B$10+BALANCE_SHEET!$B$11)*(PL_MODEL!$B$29*C$31))*(1+$B$8)+(BALANCE_SHEET!$B$5+BALANCE_SHEET!$B$6)*$B$26)*($B$10+$B$11+$B$12+$B$13)*(1+$B$25)^9-BALANCE_SHEET!$K$5*$B$20)*(1-$B$14)</f>
        <v>2461.8794063190771</v>
      </c>
      <c r="D34" s="161">
        <f>((( (BALANCE_SHEET!$K$5+BALANCE_SHEET!$K$6)*(PL_MODEL!$K$29+$A34)-(BALANCE_SHEET!$K$10+BALANCE_SHEET!$K$11)*(PL_MODEL!$K$29*D$31))*(1+$B$8)+(BALANCE_SHEET!$K$5+BALANCE_SHEET!$K$6)*$B$26)-(((BALANCE_SHEET!$B$5+BALANCE_SHEET!$B$6)*(PL_MODEL!$B$29+$A34)-(BALANCE_SHEET!$B$10+BALANCE_SHEET!$B$11)*(PL_MODEL!$B$29*D$31))*(1+$B$8)+(BALANCE_SHEET!$B$5+BALANCE_SHEET!$B$6)*$B$26)*($B$10+$B$11+$B$12+$B$13)*(1+$B$25)^9-BALANCE_SHEET!$K$5*$B$20)*(1-$B$14)</f>
        <v>2231.0507702114219</v>
      </c>
      <c r="E34" s="161">
        <f>((( (BALANCE_SHEET!$K$5+BALANCE_SHEET!$K$6)*(PL_MODEL!$K$29+$A34)-(BALANCE_SHEET!$K$10+BALANCE_SHEET!$K$11)*(PL_MODEL!$K$29*E$31))*(1+$B$8)+(BALANCE_SHEET!$K$5+BALANCE_SHEET!$K$6)*$B$26)-(((BALANCE_SHEET!$B$5+BALANCE_SHEET!$B$6)*(PL_MODEL!$B$29+$A34)-(BALANCE_SHEET!$B$10+BALANCE_SHEET!$B$11)*(PL_MODEL!$B$29*E$31))*(1+$B$8)+(BALANCE_SHEET!$B$5+BALANCE_SHEET!$B$6)*$B$26)*($B$10+$B$11+$B$12+$B$13)*(1+$B$25)^9-BALANCE_SHEET!$K$5*$B$20)*(1-$B$14)</f>
        <v>2000.2221341037678</v>
      </c>
      <c r="F34" s="161">
        <f>((( (BALANCE_SHEET!$K$5+BALANCE_SHEET!$K$6)*(PL_MODEL!$K$29+$A34)-(BALANCE_SHEET!$K$10+BALANCE_SHEET!$K$11)*(PL_MODEL!$K$29*F$31))*(1+$B$8)+(BALANCE_SHEET!$K$5+BALANCE_SHEET!$K$6)*$B$26)-(((BALANCE_SHEET!$B$5+BALANCE_SHEET!$B$6)*(PL_MODEL!$B$29+$A34)-(BALANCE_SHEET!$B$10+BALANCE_SHEET!$B$11)*(PL_MODEL!$B$29*F$31))*(1+$B$8)+(BALANCE_SHEET!$B$5+BALANCE_SHEET!$B$6)*$B$26)*($B$10+$B$11+$B$12+$B$13)*(1+$B$25)^9-BALANCE_SHEET!$K$5*$B$20)*(1-$B$14)</f>
        <v>1769.3934979961127</v>
      </c>
      <c r="G34" s="161">
        <f>((( (BALANCE_SHEET!$K$5+BALANCE_SHEET!$K$6)*(PL_MODEL!$K$29+$A34)-(BALANCE_SHEET!$K$10+BALANCE_SHEET!$K$11)*(PL_MODEL!$K$29*G$31))*(1+$B$8)+(BALANCE_SHEET!$K$5+BALANCE_SHEET!$K$6)*$B$26)-(((BALANCE_SHEET!$B$5+BALANCE_SHEET!$B$6)*(PL_MODEL!$B$29+$A34)-(BALANCE_SHEET!$B$10+BALANCE_SHEET!$B$11)*(PL_MODEL!$B$29*G$31))*(1+$B$8)+(BALANCE_SHEET!$B$5+BALANCE_SHEET!$B$6)*$B$26)*($B$10+$B$11+$B$12+$B$13)*(1+$B$25)^9-BALANCE_SHEET!$K$5*$B$20)*(1-$B$14)</f>
        <v>1538.5648618884584</v>
      </c>
      <c r="H34" s="161">
        <f>((( (BALANCE_SHEET!$K$5+BALANCE_SHEET!$K$6)*(PL_MODEL!$K$29+$A34)-(BALANCE_SHEET!$K$10+BALANCE_SHEET!$K$11)*(PL_MODEL!$K$29*H$31))*(1+$B$8)+(BALANCE_SHEET!$K$5+BALANCE_SHEET!$K$6)*$B$26)-(((BALANCE_SHEET!$B$5+BALANCE_SHEET!$B$6)*(PL_MODEL!$B$29+$A34)-(BALANCE_SHEET!$B$10+BALANCE_SHEET!$B$11)*(PL_MODEL!$B$29*H$31))*(1+$B$8)+(BALANCE_SHEET!$B$5+BALANCE_SHEET!$B$6)*$B$26)*($B$10+$B$11+$B$12+$B$13)*(1+$B$25)^9-BALANCE_SHEET!$K$5*$B$20)*(1-$B$14)</f>
        <v>1307.7362257808027</v>
      </c>
    </row>
    <row r="35" spans="1:8" x14ac:dyDescent="0.2">
      <c r="A35" s="160">
        <v>1.4999999999999999E-2</v>
      </c>
      <c r="B35" s="161">
        <f>((( (BALANCE_SHEET!$K$5+BALANCE_SHEET!$K$6)*(PL_MODEL!$K$29+$A35)-(BALANCE_SHEET!$K$10+BALANCE_SHEET!$K$11)*(PL_MODEL!$K$29*B$31))*(1+$B$8)+(BALANCE_SHEET!$K$5+BALANCE_SHEET!$K$6)*$B$26)-(((BALANCE_SHEET!$B$5+BALANCE_SHEET!$B$6)*(PL_MODEL!$B$29+$A35)-(BALANCE_SHEET!$B$10+BALANCE_SHEET!$B$11)*(PL_MODEL!$B$29*B$31))*(1+$B$8)+(BALANCE_SHEET!$B$5+BALANCE_SHEET!$B$6)*$B$26)*($B$10+$B$11+$B$12+$B$13)*(1+$B$25)^9-BALANCE_SHEET!$K$5*$B$20)*(1-$B$14)</f>
        <v>2750.1183643107565</v>
      </c>
      <c r="C35" s="161">
        <f>((( (BALANCE_SHEET!$K$5+BALANCE_SHEET!$K$6)*(PL_MODEL!$K$29+$A35)-(BALANCE_SHEET!$K$10+BALANCE_SHEET!$K$11)*(PL_MODEL!$K$29*C$31))*(1+$B$8)+(BALANCE_SHEET!$K$5+BALANCE_SHEET!$K$6)*$B$26)-(((BALANCE_SHEET!$B$5+BALANCE_SHEET!$B$6)*(PL_MODEL!$B$29+$A35)-(BALANCE_SHEET!$B$10+BALANCE_SHEET!$B$11)*(PL_MODEL!$B$29*C$31))*(1+$B$8)+(BALANCE_SHEET!$B$5+BALANCE_SHEET!$B$6)*$B$26)*($B$10+$B$11+$B$12+$B$13)*(1+$B$25)^9-BALANCE_SHEET!$K$5*$B$20)*(1-$B$14)</f>
        <v>2519.2897282031013</v>
      </c>
      <c r="D35" s="161">
        <f>((( (BALANCE_SHEET!$K$5+BALANCE_SHEET!$K$6)*(PL_MODEL!$K$29+$A35)-(BALANCE_SHEET!$K$10+BALANCE_SHEET!$K$11)*(PL_MODEL!$K$29*D$31))*(1+$B$8)+(BALANCE_SHEET!$K$5+BALANCE_SHEET!$K$6)*$B$26)-(((BALANCE_SHEET!$B$5+BALANCE_SHEET!$B$6)*(PL_MODEL!$B$29+$A35)-(BALANCE_SHEET!$B$10+BALANCE_SHEET!$B$11)*(PL_MODEL!$B$29*D$31))*(1+$B$8)+(BALANCE_SHEET!$B$5+BALANCE_SHEET!$B$6)*$B$26)*($B$10+$B$11+$B$12+$B$13)*(1+$B$25)^9-BALANCE_SHEET!$K$5*$B$20)*(1-$B$14)</f>
        <v>2288.4610920954456</v>
      </c>
      <c r="E35" s="162">
        <f>((( (BALANCE_SHEET!$K$5+BALANCE_SHEET!$K$6)*(PL_MODEL!$K$29+$A35)-(BALANCE_SHEET!$K$10+BALANCE_SHEET!$K$11)*(PL_MODEL!$K$29*E$31))*(1+$B$8)+(BALANCE_SHEET!$K$5+BALANCE_SHEET!$K$6)*$B$26)-(((BALANCE_SHEET!$B$5+BALANCE_SHEET!$B$6)*(PL_MODEL!$B$29+$A35)-(BALANCE_SHEET!$B$10+BALANCE_SHEET!$B$11)*(PL_MODEL!$B$29*E$31))*(1+$B$8)+(BALANCE_SHEET!$B$5+BALANCE_SHEET!$B$6)*$B$26)*($B$10+$B$11+$B$12+$B$13)*(1+$B$25)^9-BALANCE_SHEET!$K$5*$B$20)*(1-$B$14)</f>
        <v>2057.6324559877912</v>
      </c>
      <c r="F35" s="161">
        <f>((( (BALANCE_SHEET!$K$5+BALANCE_SHEET!$K$6)*(PL_MODEL!$K$29+$A35)-(BALANCE_SHEET!$K$10+BALANCE_SHEET!$K$11)*(PL_MODEL!$K$29*F$31))*(1+$B$8)+(BALANCE_SHEET!$K$5+BALANCE_SHEET!$K$6)*$B$26)-(((BALANCE_SHEET!$B$5+BALANCE_SHEET!$B$6)*(PL_MODEL!$B$29+$A35)-(BALANCE_SHEET!$B$10+BALANCE_SHEET!$B$11)*(PL_MODEL!$B$29*F$31))*(1+$B$8)+(BALANCE_SHEET!$B$5+BALANCE_SHEET!$B$6)*$B$26)*($B$10+$B$11+$B$12+$B$13)*(1+$B$25)^9-BALANCE_SHEET!$K$5*$B$20)*(1-$B$14)</f>
        <v>1826.803819880136</v>
      </c>
      <c r="G35" s="161">
        <f>((( (BALANCE_SHEET!$K$5+BALANCE_SHEET!$K$6)*(PL_MODEL!$K$29+$A35)-(BALANCE_SHEET!$K$10+BALANCE_SHEET!$K$11)*(PL_MODEL!$K$29*G$31))*(1+$B$8)+(BALANCE_SHEET!$K$5+BALANCE_SHEET!$K$6)*$B$26)-(((BALANCE_SHEET!$B$5+BALANCE_SHEET!$B$6)*(PL_MODEL!$B$29+$A35)-(BALANCE_SHEET!$B$10+BALANCE_SHEET!$B$11)*(PL_MODEL!$B$29*G$31))*(1+$B$8)+(BALANCE_SHEET!$B$5+BALANCE_SHEET!$B$6)*$B$26)*($B$10+$B$11+$B$12+$B$13)*(1+$B$25)^9-BALANCE_SHEET!$K$5*$B$20)*(1-$B$14)</f>
        <v>1595.9751837724818</v>
      </c>
      <c r="H35" s="161">
        <f>((( (BALANCE_SHEET!$K$5+BALANCE_SHEET!$K$6)*(PL_MODEL!$K$29+$A35)-(BALANCE_SHEET!$K$10+BALANCE_SHEET!$K$11)*(PL_MODEL!$K$29*H$31))*(1+$B$8)+(BALANCE_SHEET!$K$5+BALANCE_SHEET!$K$6)*$B$26)-(((BALANCE_SHEET!$B$5+BALANCE_SHEET!$B$6)*(PL_MODEL!$B$29+$A35)-(BALANCE_SHEET!$B$10+BALANCE_SHEET!$B$11)*(PL_MODEL!$B$29*H$31))*(1+$B$8)+(BALANCE_SHEET!$B$5+BALANCE_SHEET!$B$6)*$B$26)*($B$10+$B$11+$B$12+$B$13)*(1+$B$25)^9-BALANCE_SHEET!$K$5*$B$20)*(1-$B$14)</f>
        <v>1365.1465476648264</v>
      </c>
    </row>
    <row r="36" spans="1:8" x14ac:dyDescent="0.2">
      <c r="A36" s="160">
        <v>1.6E-2</v>
      </c>
      <c r="B36" s="161">
        <f>((( (BALANCE_SHEET!$K$5+BALANCE_SHEET!$K$6)*(PL_MODEL!$K$29+$A36)-(BALANCE_SHEET!$K$10+BALANCE_SHEET!$K$11)*(PL_MODEL!$K$29*B$31))*(1+$B$8)+(BALANCE_SHEET!$K$5+BALANCE_SHEET!$K$6)*$B$26)-(((BALANCE_SHEET!$B$5+BALANCE_SHEET!$B$6)*(PL_MODEL!$B$29+$A36)-(BALANCE_SHEET!$B$10+BALANCE_SHEET!$B$11)*(PL_MODEL!$B$29*B$31))*(1+$B$8)+(BALANCE_SHEET!$B$5+BALANCE_SHEET!$B$6)*$B$26)*($B$10+$B$11+$B$12+$B$13)*(1+$B$25)^9-BALANCE_SHEET!$K$5*$B$20)*(1-$B$14)</f>
        <v>2807.5286861947784</v>
      </c>
      <c r="C36" s="161">
        <f>((( (BALANCE_SHEET!$K$5+BALANCE_SHEET!$K$6)*(PL_MODEL!$K$29+$A36)-(BALANCE_SHEET!$K$10+BALANCE_SHEET!$K$11)*(PL_MODEL!$K$29*C$31))*(1+$B$8)+(BALANCE_SHEET!$K$5+BALANCE_SHEET!$K$6)*$B$26)-(((BALANCE_SHEET!$B$5+BALANCE_SHEET!$B$6)*(PL_MODEL!$B$29+$A36)-(BALANCE_SHEET!$B$10+BALANCE_SHEET!$B$11)*(PL_MODEL!$B$29*C$31))*(1+$B$8)+(BALANCE_SHEET!$B$5+BALANCE_SHEET!$B$6)*$B$26)*($B$10+$B$11+$B$12+$B$13)*(1+$B$25)^9-BALANCE_SHEET!$K$5*$B$20)*(1-$B$14)</f>
        <v>2576.7000500871231</v>
      </c>
      <c r="D36" s="161">
        <f>((( (BALANCE_SHEET!$K$5+BALANCE_SHEET!$K$6)*(PL_MODEL!$K$29+$A36)-(BALANCE_SHEET!$K$10+BALANCE_SHEET!$K$11)*(PL_MODEL!$K$29*D$31))*(1+$B$8)+(BALANCE_SHEET!$K$5+BALANCE_SHEET!$K$6)*$B$26)-(((BALANCE_SHEET!$B$5+BALANCE_SHEET!$B$6)*(PL_MODEL!$B$29+$A36)-(BALANCE_SHEET!$B$10+BALANCE_SHEET!$B$11)*(PL_MODEL!$B$29*D$31))*(1+$B$8)+(BALANCE_SHEET!$B$5+BALANCE_SHEET!$B$6)*$B$26)*($B$10+$B$11+$B$12+$B$13)*(1+$B$25)^9-BALANCE_SHEET!$K$5*$B$20)*(1-$B$14)</f>
        <v>2345.871413979467</v>
      </c>
      <c r="E36" s="161">
        <f>((( (BALANCE_SHEET!$K$5+BALANCE_SHEET!$K$6)*(PL_MODEL!$K$29+$A36)-(BALANCE_SHEET!$K$10+BALANCE_SHEET!$K$11)*(PL_MODEL!$K$29*E$31))*(1+$B$8)+(BALANCE_SHEET!$K$5+BALANCE_SHEET!$K$6)*$B$26)-(((BALANCE_SHEET!$B$5+BALANCE_SHEET!$B$6)*(PL_MODEL!$B$29+$A36)-(BALANCE_SHEET!$B$10+BALANCE_SHEET!$B$11)*(PL_MODEL!$B$29*E$31))*(1+$B$8)+(BALANCE_SHEET!$B$5+BALANCE_SHEET!$B$6)*$B$26)*($B$10+$B$11+$B$12+$B$13)*(1+$B$25)^9-BALANCE_SHEET!$K$5*$B$20)*(1-$B$14)</f>
        <v>2115.0427778718131</v>
      </c>
      <c r="F36" s="161">
        <f>((( (BALANCE_SHEET!$K$5+BALANCE_SHEET!$K$6)*(PL_MODEL!$K$29+$A36)-(BALANCE_SHEET!$K$10+BALANCE_SHEET!$K$11)*(PL_MODEL!$K$29*F$31))*(1+$B$8)+(BALANCE_SHEET!$K$5+BALANCE_SHEET!$K$6)*$B$26)-(((BALANCE_SHEET!$B$5+BALANCE_SHEET!$B$6)*(PL_MODEL!$B$29+$A36)-(BALANCE_SHEET!$B$10+BALANCE_SHEET!$B$11)*(PL_MODEL!$B$29*F$31))*(1+$B$8)+(BALANCE_SHEET!$B$5+BALANCE_SHEET!$B$6)*$B$26)*($B$10+$B$11+$B$12+$B$13)*(1+$B$25)^9-BALANCE_SHEET!$K$5*$B$20)*(1-$B$14)</f>
        <v>1884.2141417641578</v>
      </c>
      <c r="G36" s="161">
        <f>((( (BALANCE_SHEET!$K$5+BALANCE_SHEET!$K$6)*(PL_MODEL!$K$29+$A36)-(BALANCE_SHEET!$K$10+BALANCE_SHEET!$K$11)*(PL_MODEL!$K$29*G$31))*(1+$B$8)+(BALANCE_SHEET!$K$5+BALANCE_SHEET!$K$6)*$B$26)-(((BALANCE_SHEET!$B$5+BALANCE_SHEET!$B$6)*(PL_MODEL!$B$29+$A36)-(BALANCE_SHEET!$B$10+BALANCE_SHEET!$B$11)*(PL_MODEL!$B$29*G$31))*(1+$B$8)+(BALANCE_SHEET!$B$5+BALANCE_SHEET!$B$6)*$B$26)*($B$10+$B$11+$B$12+$B$13)*(1+$B$25)^9-BALANCE_SHEET!$K$5*$B$20)*(1-$B$14)</f>
        <v>1653.3855056565035</v>
      </c>
      <c r="H36" s="161">
        <f>((( (BALANCE_SHEET!$K$5+BALANCE_SHEET!$K$6)*(PL_MODEL!$K$29+$A36)-(BALANCE_SHEET!$K$10+BALANCE_SHEET!$K$11)*(PL_MODEL!$K$29*H$31))*(1+$B$8)+(BALANCE_SHEET!$K$5+BALANCE_SHEET!$K$6)*$B$26)-(((BALANCE_SHEET!$B$5+BALANCE_SHEET!$B$6)*(PL_MODEL!$B$29+$A36)-(BALANCE_SHEET!$B$10+BALANCE_SHEET!$B$11)*(PL_MODEL!$B$29*H$31))*(1+$B$8)+(BALANCE_SHEET!$B$5+BALANCE_SHEET!$B$6)*$B$26)*($B$10+$B$11+$B$12+$B$13)*(1+$B$25)^9-BALANCE_SHEET!$K$5*$B$20)*(1-$B$14)</f>
        <v>1422.5568695488485</v>
      </c>
    </row>
    <row r="37" spans="1:8" x14ac:dyDescent="0.2">
      <c r="A37" s="163">
        <v>1.7000000000000001E-2</v>
      </c>
      <c r="B37" s="161">
        <f>((( (BALANCE_SHEET!$K$5+BALANCE_SHEET!$K$6)*(PL_MODEL!$K$29+$A37)-(BALANCE_SHEET!$K$10+BALANCE_SHEET!$K$11)*(PL_MODEL!$K$29*B$31))*(1+$B$8)+(BALANCE_SHEET!$K$5+BALANCE_SHEET!$K$6)*$B$26)-(((BALANCE_SHEET!$B$5+BALANCE_SHEET!$B$6)*(PL_MODEL!$B$29+$A37)-(BALANCE_SHEET!$B$10+BALANCE_SHEET!$B$11)*(PL_MODEL!$B$29*B$31))*(1+$B$8)+(BALANCE_SHEET!$B$5+BALANCE_SHEET!$B$6)*$B$26)*($B$10+$B$11+$B$12+$B$13)*(1+$B$25)^9-BALANCE_SHEET!$K$5*$B$20)*(1-$B$14)</f>
        <v>2864.9390080788007</v>
      </c>
      <c r="C37" s="161">
        <f>((( (BALANCE_SHEET!$K$5+BALANCE_SHEET!$K$6)*(PL_MODEL!$K$29+$A37)-(BALANCE_SHEET!$K$10+BALANCE_SHEET!$K$11)*(PL_MODEL!$K$29*C$31))*(1+$B$8)+(BALANCE_SHEET!$K$5+BALANCE_SHEET!$K$6)*$B$26)-(((BALANCE_SHEET!$B$5+BALANCE_SHEET!$B$6)*(PL_MODEL!$B$29+$A37)-(BALANCE_SHEET!$B$10+BALANCE_SHEET!$B$11)*(PL_MODEL!$B$29*C$31))*(1+$B$8)+(BALANCE_SHEET!$B$5+BALANCE_SHEET!$B$6)*$B$26)*($B$10+$B$11+$B$12+$B$13)*(1+$B$25)^9-BALANCE_SHEET!$K$5*$B$20)*(1-$B$14)</f>
        <v>2634.1103719711455</v>
      </c>
      <c r="D37" s="161">
        <f>((( (BALANCE_SHEET!$K$5+BALANCE_SHEET!$K$6)*(PL_MODEL!$K$29+$A37)-(BALANCE_SHEET!$K$10+BALANCE_SHEET!$K$11)*(PL_MODEL!$K$29*D$31))*(1+$B$8)+(BALANCE_SHEET!$K$5+BALANCE_SHEET!$K$6)*$B$26)-(((BALANCE_SHEET!$B$5+BALANCE_SHEET!$B$6)*(PL_MODEL!$B$29+$A37)-(BALANCE_SHEET!$B$10+BALANCE_SHEET!$B$11)*(PL_MODEL!$B$29*D$31))*(1+$B$8)+(BALANCE_SHEET!$B$5+BALANCE_SHEET!$B$6)*$B$26)*($B$10+$B$11+$B$12+$B$13)*(1+$B$25)^9-BALANCE_SHEET!$K$5*$B$20)*(1-$B$14)</f>
        <v>2403.2817358634911</v>
      </c>
      <c r="E37" s="161">
        <f>((( (BALANCE_SHEET!$K$5+BALANCE_SHEET!$K$6)*(PL_MODEL!$K$29+$A37)-(BALANCE_SHEET!$K$10+BALANCE_SHEET!$K$11)*(PL_MODEL!$K$29*E$31))*(1+$B$8)+(BALANCE_SHEET!$K$5+BALANCE_SHEET!$K$6)*$B$26)-(((BALANCE_SHEET!$B$5+BALANCE_SHEET!$B$6)*(PL_MODEL!$B$29+$A37)-(BALANCE_SHEET!$B$10+BALANCE_SHEET!$B$11)*(PL_MODEL!$B$29*E$31))*(1+$B$8)+(BALANCE_SHEET!$B$5+BALANCE_SHEET!$B$6)*$B$26)*($B$10+$B$11+$B$12+$B$13)*(1+$B$25)^9-BALANCE_SHEET!$K$5*$B$20)*(1-$B$14)</f>
        <v>2172.4530997558363</v>
      </c>
      <c r="F37" s="161">
        <f>((( (BALANCE_SHEET!$K$5+BALANCE_SHEET!$K$6)*(PL_MODEL!$K$29+$A37)-(BALANCE_SHEET!$K$10+BALANCE_SHEET!$K$11)*(PL_MODEL!$K$29*F$31))*(1+$B$8)+(BALANCE_SHEET!$K$5+BALANCE_SHEET!$K$6)*$B$26)-(((BALANCE_SHEET!$B$5+BALANCE_SHEET!$B$6)*(PL_MODEL!$B$29+$A37)-(BALANCE_SHEET!$B$10+BALANCE_SHEET!$B$11)*(PL_MODEL!$B$29*F$31))*(1+$B$8)+(BALANCE_SHEET!$B$5+BALANCE_SHEET!$B$6)*$B$26)*($B$10+$B$11+$B$12+$B$13)*(1+$B$25)^9-BALANCE_SHEET!$K$5*$B$20)*(1-$B$14)</f>
        <v>1941.6244636481808</v>
      </c>
      <c r="G37" s="161">
        <f>((( (BALANCE_SHEET!$K$5+BALANCE_SHEET!$K$6)*(PL_MODEL!$K$29+$A37)-(BALANCE_SHEET!$K$10+BALANCE_SHEET!$K$11)*(PL_MODEL!$K$29*G$31))*(1+$B$8)+(BALANCE_SHEET!$K$5+BALANCE_SHEET!$K$6)*$B$26)-(((BALANCE_SHEET!$B$5+BALANCE_SHEET!$B$6)*(PL_MODEL!$B$29+$A37)-(BALANCE_SHEET!$B$10+BALANCE_SHEET!$B$11)*(PL_MODEL!$B$29*G$31))*(1+$B$8)+(BALANCE_SHEET!$B$5+BALANCE_SHEET!$B$6)*$B$26)*($B$10+$B$11+$B$12+$B$13)*(1+$B$25)^9-BALANCE_SHEET!$K$5*$B$20)*(1-$B$14)</f>
        <v>1710.7958275405267</v>
      </c>
      <c r="H37" s="161">
        <f>((( (BALANCE_SHEET!$K$5+BALANCE_SHEET!$K$6)*(PL_MODEL!$K$29+$A37)-(BALANCE_SHEET!$K$10+BALANCE_SHEET!$K$11)*(PL_MODEL!$K$29*H$31))*(1+$B$8)+(BALANCE_SHEET!$K$5+BALANCE_SHEET!$K$6)*$B$26)-(((BALANCE_SHEET!$B$5+BALANCE_SHEET!$B$6)*(PL_MODEL!$B$29+$A37)-(BALANCE_SHEET!$B$10+BALANCE_SHEET!$B$11)*(PL_MODEL!$B$29*H$31))*(1+$B$8)+(BALANCE_SHEET!$B$5+BALANCE_SHEET!$B$6)*$B$26)*($B$10+$B$11+$B$12+$B$13)*(1+$B$25)^9-BALANCE_SHEET!$K$5*$B$20)*(1-$B$14)</f>
        <v>1479.9671914328715</v>
      </c>
    </row>
    <row r="38" spans="1:8" x14ac:dyDescent="0.2">
      <c r="A38" s="160">
        <v>1.7999999999999999E-2</v>
      </c>
      <c r="B38" s="161">
        <f>((( (BALANCE_SHEET!$K$5+BALANCE_SHEET!$K$6)*(PL_MODEL!$K$29+$A38)-(BALANCE_SHEET!$K$10+BALANCE_SHEET!$K$11)*(PL_MODEL!$K$29*B$31))*(1+$B$8)+(BALANCE_SHEET!$K$5+BALANCE_SHEET!$K$6)*$B$26)-(((BALANCE_SHEET!$B$5+BALANCE_SHEET!$B$6)*(PL_MODEL!$B$29+$A38)-(BALANCE_SHEET!$B$10+BALANCE_SHEET!$B$11)*(PL_MODEL!$B$29*B$31))*(1+$B$8)+(BALANCE_SHEET!$B$5+BALANCE_SHEET!$B$6)*$B$26)*($B$10+$B$11+$B$12+$B$13)*(1+$B$25)^9-BALANCE_SHEET!$K$5*$B$20)*(1-$B$14)</f>
        <v>2922.349329962824</v>
      </c>
      <c r="C38" s="161">
        <f>((( (BALANCE_SHEET!$K$5+BALANCE_SHEET!$K$6)*(PL_MODEL!$K$29+$A38)-(BALANCE_SHEET!$K$10+BALANCE_SHEET!$K$11)*(PL_MODEL!$K$29*C$31))*(1+$B$8)+(BALANCE_SHEET!$K$5+BALANCE_SHEET!$K$6)*$B$26)-(((BALANCE_SHEET!$B$5+BALANCE_SHEET!$B$6)*(PL_MODEL!$B$29+$A38)-(BALANCE_SHEET!$B$10+BALANCE_SHEET!$B$11)*(PL_MODEL!$B$29*C$31))*(1+$B$8)+(BALANCE_SHEET!$B$5+BALANCE_SHEET!$B$6)*$B$26)*($B$10+$B$11+$B$12+$B$13)*(1+$B$25)^9-BALANCE_SHEET!$K$5*$B$20)*(1-$B$14)</f>
        <v>2691.5206938551687</v>
      </c>
      <c r="D38" s="161">
        <f>((( (BALANCE_SHEET!$K$5+BALANCE_SHEET!$K$6)*(PL_MODEL!$K$29+$A38)-(BALANCE_SHEET!$K$10+BALANCE_SHEET!$K$11)*(PL_MODEL!$K$29*D$31))*(1+$B$8)+(BALANCE_SHEET!$K$5+BALANCE_SHEET!$K$6)*$B$26)-(((BALANCE_SHEET!$B$5+BALANCE_SHEET!$B$6)*(PL_MODEL!$B$29+$A38)-(BALANCE_SHEET!$B$10+BALANCE_SHEET!$B$11)*(PL_MODEL!$B$29*D$31))*(1+$B$8)+(BALANCE_SHEET!$B$5+BALANCE_SHEET!$B$6)*$B$26)*($B$10+$B$11+$B$12+$B$13)*(1+$B$25)^9-BALANCE_SHEET!$K$5*$B$20)*(1-$B$14)</f>
        <v>2460.692057747513</v>
      </c>
      <c r="E38" s="161">
        <f>((( (BALANCE_SHEET!$K$5+BALANCE_SHEET!$K$6)*(PL_MODEL!$K$29+$A38)-(BALANCE_SHEET!$K$10+BALANCE_SHEET!$K$11)*(PL_MODEL!$K$29*E$31))*(1+$B$8)+(BALANCE_SHEET!$K$5+BALANCE_SHEET!$K$6)*$B$26)-(((BALANCE_SHEET!$B$5+BALANCE_SHEET!$B$6)*(PL_MODEL!$B$29+$A38)-(BALANCE_SHEET!$B$10+BALANCE_SHEET!$B$11)*(PL_MODEL!$B$29*E$31))*(1+$B$8)+(BALANCE_SHEET!$B$5+BALANCE_SHEET!$B$6)*$B$26)*($B$10+$B$11+$B$12+$B$13)*(1+$B$25)^9-BALANCE_SHEET!$K$5*$B$20)*(1-$B$14)</f>
        <v>2229.8634216398586</v>
      </c>
      <c r="F38" s="161">
        <f>((( (BALANCE_SHEET!$K$5+BALANCE_SHEET!$K$6)*(PL_MODEL!$K$29+$A38)-(BALANCE_SHEET!$K$10+BALANCE_SHEET!$K$11)*(PL_MODEL!$K$29*F$31))*(1+$B$8)+(BALANCE_SHEET!$K$5+BALANCE_SHEET!$K$6)*$B$26)-(((BALANCE_SHEET!$B$5+BALANCE_SHEET!$B$6)*(PL_MODEL!$B$29+$A38)-(BALANCE_SHEET!$B$10+BALANCE_SHEET!$B$11)*(PL_MODEL!$B$29*F$31))*(1+$B$8)+(BALANCE_SHEET!$B$5+BALANCE_SHEET!$B$6)*$B$26)*($B$10+$B$11+$B$12+$B$13)*(1+$B$25)^9-BALANCE_SHEET!$K$5*$B$20)*(1-$B$14)</f>
        <v>1999.0347855322041</v>
      </c>
      <c r="G38" s="161">
        <f>((( (BALANCE_SHEET!$K$5+BALANCE_SHEET!$K$6)*(PL_MODEL!$K$29+$A38)-(BALANCE_SHEET!$K$10+BALANCE_SHEET!$K$11)*(PL_MODEL!$K$29*G$31))*(1+$B$8)+(BALANCE_SHEET!$K$5+BALANCE_SHEET!$K$6)*$B$26)-(((BALANCE_SHEET!$B$5+BALANCE_SHEET!$B$6)*(PL_MODEL!$B$29+$A38)-(BALANCE_SHEET!$B$10+BALANCE_SHEET!$B$11)*(PL_MODEL!$B$29*G$31))*(1+$B$8)+(BALANCE_SHEET!$B$5+BALANCE_SHEET!$B$6)*$B$26)*($B$10+$B$11+$B$12+$B$13)*(1+$B$25)^9-BALANCE_SHEET!$K$5*$B$20)*(1-$B$14)</f>
        <v>1768.2061494245486</v>
      </c>
      <c r="H38" s="161">
        <f>((( (BALANCE_SHEET!$K$5+BALANCE_SHEET!$K$6)*(PL_MODEL!$K$29+$A38)-(BALANCE_SHEET!$K$10+BALANCE_SHEET!$K$11)*(PL_MODEL!$K$29*H$31))*(1+$B$8)+(BALANCE_SHEET!$K$5+BALANCE_SHEET!$K$6)*$B$26)-(((BALANCE_SHEET!$B$5+BALANCE_SHEET!$B$6)*(PL_MODEL!$B$29+$A38)-(BALANCE_SHEET!$B$10+BALANCE_SHEET!$B$11)*(PL_MODEL!$B$29*H$31))*(1+$B$8)+(BALANCE_SHEET!$B$5+BALANCE_SHEET!$B$6)*$B$26)*($B$10+$B$11+$B$12+$B$13)*(1+$B$25)^9-BALANCE_SHEET!$K$5*$B$20)*(1-$B$14)</f>
        <v>1537.3775133168936</v>
      </c>
    </row>
  </sheetData>
  <scenarios current="0" sqref="D7:E13">
    <scenario name="BASE" locked="1" count="3" user="Pallavi Sojan" comment="Created by Pallavi Sojan on 23/06/2026">
      <inputCells r="B7" val="0.035" numFmtId="10"/>
      <inputCells r="B10" val="0.35" numFmtId="9"/>
      <inputCells r="B20" val="0.004" numFmtId="10"/>
    </scenario>
    <scenario name="BULL" locked="1" count="3" user="Pallavi Sojan" comment="Created by Pallavi Sojan on 23/06/2026_x000a_Modified by Pallavi Sojan on 23/06/2026">
      <inputCells r="B7" val="0.055" numFmtId="10"/>
      <inputCells r="B10" val="0.33" numFmtId="9"/>
      <inputCells r="B20" val="0.002" numFmtId="10"/>
    </scenario>
    <scenario name="BEAR" locked="1" count="3" user="Pallavi Sojan" comment="Created by Pallavi Sojan on 23/06/2026_x000a_Modified by Pallavi Sojan on 23/06/2026">
      <inputCells r="B7" val="0.025" numFmtId="10"/>
      <inputCells r="B10" val="0.36" numFmtId="9"/>
      <inputCells r="B20" val="0.006" numFmtId="10"/>
    </scenario>
    <scenario name="SEVERE STRESS" locked="1" count="3" user="Pallavi Sojan" comment="Created by Pallavi Sojan on 23/06/2026">
      <inputCells r="B7" val="-0.015" numFmtId="10"/>
      <inputCells r="B10" val="0.4" numFmtId="9"/>
      <inputCells r="B20" val="0.012" numFmtId="10"/>
    </scenario>
  </scenarios>
  <mergeCells count="5">
    <mergeCell ref="A19:B19"/>
    <mergeCell ref="A16:B16"/>
    <mergeCell ref="A9:B9"/>
    <mergeCell ref="A6:B6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664B-1117-C144-B021-476ED302A499}">
  <sheetPr>
    <tabColor theme="5" tint="0.39997558519241921"/>
  </sheetPr>
  <dimension ref="A1:K25"/>
  <sheetViews>
    <sheetView showGridLines="0" workbookViewId="0">
      <selection activeCell="N15" sqref="N15"/>
    </sheetView>
  </sheetViews>
  <sheetFormatPr baseColWidth="10" defaultRowHeight="16" x14ac:dyDescent="0.2"/>
  <cols>
    <col min="1" max="1" width="42.83203125" customWidth="1"/>
    <col min="2" max="2" width="13.1640625" bestFit="1" customWidth="1"/>
    <col min="3" max="6" width="11.1640625" bestFit="1" customWidth="1"/>
    <col min="7" max="7" width="12.33203125" customWidth="1"/>
    <col min="8" max="11" width="11.1640625" bestFit="1" customWidth="1"/>
  </cols>
  <sheetData>
    <row r="1" spans="1:11" ht="19" x14ac:dyDescent="0.25">
      <c r="A1" s="192" t="s">
        <v>73</v>
      </c>
      <c r="B1" s="193"/>
      <c r="C1" s="193"/>
      <c r="D1" s="193"/>
      <c r="E1" s="193"/>
      <c r="F1" s="193"/>
      <c r="G1" s="193"/>
      <c r="H1" s="193"/>
      <c r="I1" s="193"/>
      <c r="J1" s="193"/>
      <c r="K1" s="194"/>
    </row>
    <row r="2" spans="1:11" ht="20" thickBot="1" x14ac:dyDescent="0.3">
      <c r="A2" s="31"/>
      <c r="B2" s="22" t="s">
        <v>74</v>
      </c>
      <c r="C2" s="22" t="s">
        <v>75</v>
      </c>
      <c r="D2" s="22" t="s">
        <v>76</v>
      </c>
      <c r="E2" s="22" t="s">
        <v>77</v>
      </c>
      <c r="F2" s="22" t="s">
        <v>78</v>
      </c>
      <c r="G2" s="22" t="s">
        <v>79</v>
      </c>
      <c r="H2" s="22" t="s">
        <v>80</v>
      </c>
      <c r="I2" s="22" t="s">
        <v>81</v>
      </c>
      <c r="J2" s="22" t="s">
        <v>82</v>
      </c>
      <c r="K2" s="23" t="s">
        <v>83</v>
      </c>
    </row>
    <row r="3" spans="1:11" ht="19" x14ac:dyDescent="0.25">
      <c r="A3" s="24" t="s">
        <v>84</v>
      </c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1" ht="19" x14ac:dyDescent="0.25">
      <c r="A4" s="48" t="s">
        <v>85</v>
      </c>
      <c r="B4" s="47">
        <f>(B10+B11+B12+B17)-(B5+B6+B7)</f>
        <v>14859.972051190169</v>
      </c>
      <c r="C4" s="47">
        <f t="shared" ref="C4:K4" si="0">(C10+C11+C12+C17)-(C5+C6+C7)</f>
        <v>15291.733631623356</v>
      </c>
      <c r="D4" s="47">
        <f t="shared" si="0"/>
        <v>15714.878090066282</v>
      </c>
      <c r="E4" s="47">
        <f t="shared" si="0"/>
        <v>16474.373780231399</v>
      </c>
      <c r="F4" s="47">
        <f t="shared" si="0"/>
        <v>17948.127888475108</v>
      </c>
      <c r="G4" s="47">
        <f t="shared" si="0"/>
        <v>19577.951808621408</v>
      </c>
      <c r="H4" s="47">
        <f t="shared" si="0"/>
        <v>21063.363453097583</v>
      </c>
      <c r="I4" s="47">
        <f t="shared" si="0"/>
        <v>22479.866935156577</v>
      </c>
      <c r="J4" s="47">
        <f t="shared" si="0"/>
        <v>23950.611456048355</v>
      </c>
      <c r="K4" s="49">
        <f t="shared" si="0"/>
        <v>25477.635354641097</v>
      </c>
    </row>
    <row r="5" spans="1:11" ht="19" x14ac:dyDescent="0.25">
      <c r="A5" s="48" t="s">
        <v>86</v>
      </c>
      <c r="B5" s="47">
        <f>C5/(1+ASSUMPTIONS!$B$7)</f>
        <v>122025.09664616293</v>
      </c>
      <c r="C5" s="47">
        <f>D5/(1+ASSUMPTIONS!$B$7)</f>
        <v>126295.97502877862</v>
      </c>
      <c r="D5" s="47">
        <f>E5/(1+ASSUMPTIONS!$B$7)</f>
        <v>130716.33415478586</v>
      </c>
      <c r="E5" s="47">
        <f>F5/(1+ASSUMPTIONS!$B$7)</f>
        <v>135291.40585020336</v>
      </c>
      <c r="F5" s="47">
        <f>G5/(1+ASSUMPTIONS!$B$7)</f>
        <v>140026.60505496047</v>
      </c>
      <c r="G5" s="47">
        <f>H5/(1+ASSUMPTIONS!$B$7)</f>
        <v>144927.53623188406</v>
      </c>
      <c r="H5" s="47">
        <f>ASSUMPTIONS!$B$17*1000</f>
        <v>150000</v>
      </c>
      <c r="I5" s="47">
        <f>H5*(1+ASSUMPTIONS!$B$7)</f>
        <v>155250</v>
      </c>
      <c r="J5" s="47">
        <f>I5*(1+ASSUMPTIONS!$B$7)</f>
        <v>160683.75</v>
      </c>
      <c r="K5" s="49">
        <f>J5*(1+ASSUMPTIONS!$B$7)</f>
        <v>166307.68124999999</v>
      </c>
    </row>
    <row r="6" spans="1:11" ht="19" x14ac:dyDescent="0.25">
      <c r="A6" s="48" t="s">
        <v>87</v>
      </c>
      <c r="B6" s="47">
        <f>B5*0.03</f>
        <v>3660.7528993848878</v>
      </c>
      <c r="C6" s="47">
        <f t="shared" ref="C6:K6" si="1">C5*0.03</f>
        <v>3788.8792508633583</v>
      </c>
      <c r="D6" s="47">
        <f t="shared" si="1"/>
        <v>3921.4900246435755</v>
      </c>
      <c r="E6" s="47">
        <f t="shared" si="1"/>
        <v>4058.7421755061005</v>
      </c>
      <c r="F6" s="47">
        <f t="shared" si="1"/>
        <v>4200.7981516488144</v>
      </c>
      <c r="G6" s="47">
        <f t="shared" si="1"/>
        <v>4347.826086956522</v>
      </c>
      <c r="H6" s="47">
        <f t="shared" si="1"/>
        <v>4500</v>
      </c>
      <c r="I6" s="47">
        <f t="shared" si="1"/>
        <v>4657.5</v>
      </c>
      <c r="J6" s="47">
        <f t="shared" si="1"/>
        <v>4820.5124999999998</v>
      </c>
      <c r="K6" s="47">
        <f t="shared" si="1"/>
        <v>4989.2304374999994</v>
      </c>
    </row>
    <row r="7" spans="1:11" ht="19" x14ac:dyDescent="0.25">
      <c r="A7" s="48" t="s">
        <v>88</v>
      </c>
      <c r="B7" s="47">
        <f>B5*0.03</f>
        <v>3660.7528993848878</v>
      </c>
      <c r="C7" s="47">
        <f t="shared" ref="C7:K7" si="2">C5*0.03</f>
        <v>3788.8792508633583</v>
      </c>
      <c r="D7" s="47">
        <f t="shared" si="2"/>
        <v>3921.4900246435755</v>
      </c>
      <c r="E7" s="47">
        <f t="shared" si="2"/>
        <v>4058.7421755061005</v>
      </c>
      <c r="F7" s="47">
        <f t="shared" si="2"/>
        <v>4200.7981516488144</v>
      </c>
      <c r="G7" s="47">
        <f t="shared" si="2"/>
        <v>4347.826086956522</v>
      </c>
      <c r="H7" s="47">
        <f t="shared" si="2"/>
        <v>4500</v>
      </c>
      <c r="I7" s="47">
        <f t="shared" si="2"/>
        <v>4657.5</v>
      </c>
      <c r="J7" s="47">
        <f t="shared" si="2"/>
        <v>4820.5124999999998</v>
      </c>
      <c r="K7" s="49">
        <f t="shared" si="2"/>
        <v>4989.2304374999994</v>
      </c>
    </row>
    <row r="8" spans="1:11" ht="20" thickBot="1" x14ac:dyDescent="0.3">
      <c r="A8" s="31" t="s">
        <v>89</v>
      </c>
      <c r="B8" s="50">
        <f>B4+B5+B6+B7</f>
        <v>144206.57449612286</v>
      </c>
      <c r="C8" s="50">
        <f t="shared" ref="C8:K8" si="3">SUM(C4:C7)</f>
        <v>149165.46716212871</v>
      </c>
      <c r="D8" s="50">
        <f t="shared" si="3"/>
        <v>154274.1922941393</v>
      </c>
      <c r="E8" s="50">
        <f t="shared" si="3"/>
        <v>159883.26398144697</v>
      </c>
      <c r="F8" s="50">
        <f t="shared" si="3"/>
        <v>166376.32924673319</v>
      </c>
      <c r="G8" s="50">
        <f t="shared" si="3"/>
        <v>173201.1402144185</v>
      </c>
      <c r="H8" s="50">
        <f t="shared" si="3"/>
        <v>180063.36345309758</v>
      </c>
      <c r="I8" s="50">
        <f t="shared" si="3"/>
        <v>187044.86693515658</v>
      </c>
      <c r="J8" s="50">
        <f t="shared" si="3"/>
        <v>194275.38645604838</v>
      </c>
      <c r="K8" s="51">
        <f t="shared" si="3"/>
        <v>201763.77747964108</v>
      </c>
    </row>
    <row r="9" spans="1:11" ht="19" x14ac:dyDescent="0.25">
      <c r="A9" s="24" t="s">
        <v>90</v>
      </c>
      <c r="B9" s="36"/>
      <c r="C9" s="36"/>
      <c r="D9" s="36"/>
      <c r="E9" s="36"/>
      <c r="F9" s="36"/>
      <c r="G9" s="36"/>
      <c r="H9" s="36"/>
      <c r="I9" s="36"/>
      <c r="J9" s="36"/>
      <c r="K9" s="37"/>
    </row>
    <row r="10" spans="1:11" ht="19" x14ac:dyDescent="0.25">
      <c r="A10" s="48" t="s">
        <v>91</v>
      </c>
      <c r="B10" s="47">
        <f>B5*ASSUMPTIONS!$B$29</f>
        <v>109822.58698154664</v>
      </c>
      <c r="C10" s="47">
        <f>C5*ASSUMPTIONS!$B$29</f>
        <v>113666.37752590075</v>
      </c>
      <c r="D10" s="47">
        <f>D5*ASSUMPTIONS!$B$29</f>
        <v>117644.70073930727</v>
      </c>
      <c r="E10" s="47">
        <f>E5*ASSUMPTIONS!$B$29</f>
        <v>121762.26526518303</v>
      </c>
      <c r="F10" s="47">
        <f>F5*ASSUMPTIONS!$B$29</f>
        <v>126023.94454946443</v>
      </c>
      <c r="G10" s="47">
        <f>G5*ASSUMPTIONS!$B$29</f>
        <v>130434.78260869566</v>
      </c>
      <c r="H10" s="47">
        <f>H5*ASSUMPTIONS!$B$29</f>
        <v>135000</v>
      </c>
      <c r="I10" s="47">
        <f>I5*ASSUMPTIONS!$B$29</f>
        <v>139725</v>
      </c>
      <c r="J10" s="47">
        <f>J5*ASSUMPTIONS!$B$29</f>
        <v>144615.375</v>
      </c>
      <c r="K10" s="47">
        <f>K5*ASSUMPTIONS!$B$29</f>
        <v>149676.91312499999</v>
      </c>
    </row>
    <row r="11" spans="1:11" ht="19" x14ac:dyDescent="0.25">
      <c r="A11" s="48" t="s">
        <v>92</v>
      </c>
      <c r="B11" s="47">
        <f>B10*ASSUMPTIONS!$B$27</f>
        <v>19768.065656678395</v>
      </c>
      <c r="C11" s="47">
        <f>C10*ASSUMPTIONS!$B$27</f>
        <v>20459.947954662133</v>
      </c>
      <c r="D11" s="47">
        <f>D10*ASSUMPTIONS!$B$27</f>
        <v>21176.04613307531</v>
      </c>
      <c r="E11" s="47">
        <f>E10*ASSUMPTIONS!$B$27</f>
        <v>21917.207747732944</v>
      </c>
      <c r="F11" s="47">
        <f>F10*ASSUMPTIONS!$B$27</f>
        <v>22684.310018903598</v>
      </c>
      <c r="G11" s="47">
        <f>G10*ASSUMPTIONS!$B$27</f>
        <v>23478.26086956522</v>
      </c>
      <c r="H11" s="47">
        <f>H10*ASSUMPTIONS!$B$27</f>
        <v>24300</v>
      </c>
      <c r="I11" s="47">
        <f>I10*ASSUMPTIONS!$B$27</f>
        <v>25150.5</v>
      </c>
      <c r="J11" s="47">
        <f>J10*ASSUMPTIONS!$B$27</f>
        <v>26030.767499999998</v>
      </c>
      <c r="K11" s="49">
        <f>K10*ASSUMPTIONS!$B$27</f>
        <v>26941.844362499996</v>
      </c>
    </row>
    <row r="12" spans="1:11" ht="19" x14ac:dyDescent="0.25">
      <c r="A12" s="48" t="s">
        <v>93</v>
      </c>
      <c r="B12" s="47">
        <f>B5*ASSUMPTIONS!$B$28</f>
        <v>6101.2548323081464</v>
      </c>
      <c r="C12" s="47">
        <f>C5*ASSUMPTIONS!$B$28</f>
        <v>6314.7987514389315</v>
      </c>
      <c r="D12" s="47">
        <f>D5*ASSUMPTIONS!$B$28</f>
        <v>6535.8167077392936</v>
      </c>
      <c r="E12" s="47">
        <f>E5*ASSUMPTIONS!$B$28</f>
        <v>6764.5702925101687</v>
      </c>
      <c r="F12" s="47">
        <f>F5*ASSUMPTIONS!$B$28</f>
        <v>7001.3302527480237</v>
      </c>
      <c r="G12" s="47">
        <f>G5*ASSUMPTIONS!$B$28</f>
        <v>7246.3768115942039</v>
      </c>
      <c r="H12" s="47">
        <f>H5*ASSUMPTIONS!$B$28</f>
        <v>7500</v>
      </c>
      <c r="I12" s="47">
        <f>I5*ASSUMPTIONS!$B$28</f>
        <v>7762.5</v>
      </c>
      <c r="J12" s="47">
        <f>J5*ASSUMPTIONS!$B$28</f>
        <v>8034.1875</v>
      </c>
      <c r="K12" s="49">
        <f>K5*ASSUMPTIONS!$B$28</f>
        <v>8315.3840624999993</v>
      </c>
    </row>
    <row r="13" spans="1:11" ht="20" thickBot="1" x14ac:dyDescent="0.3">
      <c r="A13" s="31" t="s">
        <v>94</v>
      </c>
      <c r="B13" s="50">
        <f>SUM(B10:B12)</f>
        <v>135691.90747053319</v>
      </c>
      <c r="C13" s="50">
        <f t="shared" ref="C13:K13" si="4">SUM(C10:C12)</f>
        <v>140441.12423200184</v>
      </c>
      <c r="D13" s="50">
        <f>SUM(D10:D12)</f>
        <v>145356.56358012187</v>
      </c>
      <c r="E13" s="50">
        <f t="shared" si="4"/>
        <v>150444.04330542617</v>
      </c>
      <c r="F13" s="50">
        <f t="shared" si="4"/>
        <v>155709.58482111603</v>
      </c>
      <c r="G13" s="50">
        <f t="shared" si="4"/>
        <v>161159.4202898551</v>
      </c>
      <c r="H13" s="50">
        <f t="shared" si="4"/>
        <v>166800</v>
      </c>
      <c r="I13" s="50">
        <f t="shared" si="4"/>
        <v>172638</v>
      </c>
      <c r="J13" s="50">
        <f t="shared" si="4"/>
        <v>178680.33</v>
      </c>
      <c r="K13" s="51">
        <f t="shared" si="4"/>
        <v>184934.14155</v>
      </c>
    </row>
    <row r="14" spans="1:11" ht="19" x14ac:dyDescent="0.25">
      <c r="A14" s="24" t="s">
        <v>95</v>
      </c>
      <c r="B14" s="52"/>
      <c r="C14" s="52"/>
      <c r="D14" s="52"/>
      <c r="E14" s="52"/>
      <c r="F14" s="52"/>
      <c r="G14" s="52"/>
      <c r="H14" s="52"/>
      <c r="I14" s="52"/>
      <c r="J14" s="52"/>
      <c r="K14" s="53"/>
    </row>
    <row r="15" spans="1:11" ht="19" x14ac:dyDescent="0.25">
      <c r="A15" s="48" t="s">
        <v>96</v>
      </c>
      <c r="B15" s="47">
        <v>8000</v>
      </c>
      <c r="C15" s="47">
        <v>8000</v>
      </c>
      <c r="D15" s="47">
        <v>8000</v>
      </c>
      <c r="E15" s="47">
        <v>8000</v>
      </c>
      <c r="F15" s="47">
        <v>8000</v>
      </c>
      <c r="G15" s="47">
        <v>8000</v>
      </c>
      <c r="H15" s="47">
        <v>8000</v>
      </c>
      <c r="I15" s="47">
        <v>8000</v>
      </c>
      <c r="J15" s="47">
        <v>8000</v>
      </c>
      <c r="K15" s="49">
        <v>8000</v>
      </c>
    </row>
    <row r="16" spans="1:11" ht="19" x14ac:dyDescent="0.25">
      <c r="A16" s="48" t="s">
        <v>97</v>
      </c>
      <c r="B16" s="47">
        <f>PL_MODEL!B21</f>
        <v>514.66702558967734</v>
      </c>
      <c r="C16" s="47">
        <f>B16+PL_MODEL!C21*ASSUMPTIONS!$B$18</f>
        <v>724.34293012686135</v>
      </c>
      <c r="D16" s="47">
        <f>C16+PL_MODEL!D21*ASSUMPTIONS!$B$18</f>
        <v>917.62871401741813</v>
      </c>
      <c r="E16" s="47">
        <f>D16+PL_MODEL!E21*ASSUMPTIONS!$B$18</f>
        <v>1439.2206760207932</v>
      </c>
      <c r="F16" s="47">
        <f>E16+PL_MODEL!F21*ASSUMPTIONS!$B$18</f>
        <v>2666.7444256171457</v>
      </c>
      <c r="G16" s="47">
        <f>F16+PL_MODEL!G21*ASSUMPTIONS!$B$18</f>
        <v>4041.719924563391</v>
      </c>
      <c r="H16" s="47">
        <f>G16+PL_MODEL!H21*ASSUMPTIONS!$B$18</f>
        <v>5263.3634530975896</v>
      </c>
      <c r="I16" s="47">
        <f>H16+PL_MODEL!I21*ASSUMPTIONS!$B$18</f>
        <v>6406.8669351565632</v>
      </c>
      <c r="J16" s="47">
        <f>I16+PL_MODEL!J21*ASSUMPTIONS!$B$18</f>
        <v>7595.0564560484017</v>
      </c>
      <c r="K16" s="47">
        <f>J16+PL_MODEL!K21*ASSUMPTIONS!$B$18</f>
        <v>8829.6359296410756</v>
      </c>
    </row>
    <row r="17" spans="1:11" ht="20" thickBot="1" x14ac:dyDescent="0.3">
      <c r="A17" s="31" t="s">
        <v>98</v>
      </c>
      <c r="B17" s="50">
        <f>SUM(B15:B16)</f>
        <v>8514.667025589677</v>
      </c>
      <c r="C17" s="50">
        <f t="shared" ref="C17:K17" si="5">SUM(C15:C16)</f>
        <v>8724.3429301268607</v>
      </c>
      <c r="D17" s="50">
        <f t="shared" si="5"/>
        <v>8917.6287140174172</v>
      </c>
      <c r="E17" s="50">
        <f t="shared" si="5"/>
        <v>9439.2206760207937</v>
      </c>
      <c r="F17" s="50">
        <f t="shared" si="5"/>
        <v>10666.744425617146</v>
      </c>
      <c r="G17" s="50">
        <f t="shared" si="5"/>
        <v>12041.719924563391</v>
      </c>
      <c r="H17" s="50">
        <f t="shared" si="5"/>
        <v>13263.363453097591</v>
      </c>
      <c r="I17" s="50">
        <f t="shared" si="5"/>
        <v>14406.866935156562</v>
      </c>
      <c r="J17" s="50">
        <f t="shared" si="5"/>
        <v>15595.056456048402</v>
      </c>
      <c r="K17" s="51">
        <f t="shared" si="5"/>
        <v>16829.635929641074</v>
      </c>
    </row>
    <row r="18" spans="1:11" ht="19" x14ac:dyDescent="0.25">
      <c r="A18" s="54" t="s">
        <v>99</v>
      </c>
      <c r="B18" s="55">
        <f>B13+B17</f>
        <v>144206.57449612286</v>
      </c>
      <c r="C18" s="55">
        <f t="shared" ref="C18:K18" si="6">C13+C17</f>
        <v>149165.46716212868</v>
      </c>
      <c r="D18" s="55">
        <f t="shared" si="6"/>
        <v>154274.1922941393</v>
      </c>
      <c r="E18" s="55">
        <f t="shared" si="6"/>
        <v>159883.26398144697</v>
      </c>
      <c r="F18" s="55">
        <f t="shared" si="6"/>
        <v>166376.32924673319</v>
      </c>
      <c r="G18" s="55">
        <f t="shared" si="6"/>
        <v>173201.1402144185</v>
      </c>
      <c r="H18" s="55">
        <f t="shared" si="6"/>
        <v>180063.36345309758</v>
      </c>
      <c r="I18" s="55">
        <f t="shared" si="6"/>
        <v>187044.86693515658</v>
      </c>
      <c r="J18" s="55">
        <f t="shared" si="6"/>
        <v>194275.38645604838</v>
      </c>
      <c r="K18" s="56">
        <f t="shared" si="6"/>
        <v>201763.77747964108</v>
      </c>
    </row>
    <row r="19" spans="1:11" ht="19" x14ac:dyDescent="0.25">
      <c r="A19" s="77" t="s">
        <v>100</v>
      </c>
      <c r="B19" s="75">
        <f t="shared" ref="B19:K19" si="7">B8-B18</f>
        <v>0</v>
      </c>
      <c r="C19" s="75">
        <f t="shared" si="7"/>
        <v>0</v>
      </c>
      <c r="D19" s="75">
        <f t="shared" si="7"/>
        <v>0</v>
      </c>
      <c r="E19" s="75">
        <f t="shared" si="7"/>
        <v>0</v>
      </c>
      <c r="F19" s="75">
        <f t="shared" si="7"/>
        <v>0</v>
      </c>
      <c r="G19" s="75">
        <f t="shared" si="7"/>
        <v>0</v>
      </c>
      <c r="H19" s="75">
        <f t="shared" si="7"/>
        <v>0</v>
      </c>
      <c r="I19" s="75">
        <f t="shared" si="7"/>
        <v>0</v>
      </c>
      <c r="J19" s="75">
        <f t="shared" si="7"/>
        <v>0</v>
      </c>
      <c r="K19" s="76">
        <f t="shared" si="7"/>
        <v>0</v>
      </c>
    </row>
    <row r="20" spans="1:11" ht="20" thickBot="1" x14ac:dyDescent="0.3">
      <c r="A20" s="72" t="s">
        <v>101</v>
      </c>
      <c r="B20" s="78"/>
      <c r="C20" s="78"/>
      <c r="D20" s="78"/>
      <c r="E20" s="78"/>
      <c r="F20" s="78"/>
      <c r="G20" s="78"/>
      <c r="H20" s="78"/>
      <c r="I20" s="78"/>
      <c r="J20" s="78"/>
      <c r="K20" s="79"/>
    </row>
    <row r="21" spans="1:11" ht="19" x14ac:dyDescent="0.25">
      <c r="A21" s="24" t="s">
        <v>71</v>
      </c>
      <c r="B21" s="52"/>
      <c r="C21" s="52"/>
      <c r="D21" s="52"/>
      <c r="E21" s="52"/>
      <c r="F21" s="52"/>
      <c r="G21" s="52"/>
      <c r="H21" s="52"/>
      <c r="I21" s="52"/>
      <c r="J21" s="52"/>
      <c r="K21" s="53"/>
    </row>
    <row r="22" spans="1:11" ht="19" x14ac:dyDescent="0.25">
      <c r="A22" s="48" t="s">
        <v>102</v>
      </c>
      <c r="B22" s="43">
        <f>B5/B10*100</f>
        <v>111.1111111111111</v>
      </c>
      <c r="C22" s="43">
        <f t="shared" ref="C22:K22" si="8">C5/C10*100</f>
        <v>111.11111111111111</v>
      </c>
      <c r="D22" s="43">
        <f t="shared" si="8"/>
        <v>111.11111111111111</v>
      </c>
      <c r="E22" s="43">
        <f>E5/E10*100</f>
        <v>111.11111111111111</v>
      </c>
      <c r="F22" s="43">
        <f t="shared" si="8"/>
        <v>111.1111111111111</v>
      </c>
      <c r="G22" s="43">
        <f t="shared" si="8"/>
        <v>111.11111111111111</v>
      </c>
      <c r="H22" s="43">
        <f t="shared" si="8"/>
        <v>111.11111111111111</v>
      </c>
      <c r="I22" s="43">
        <f t="shared" si="8"/>
        <v>111.11111111111111</v>
      </c>
      <c r="J22" s="43">
        <f t="shared" si="8"/>
        <v>111.11111111111111</v>
      </c>
      <c r="K22" s="44">
        <f t="shared" si="8"/>
        <v>111.11111111111111</v>
      </c>
    </row>
    <row r="23" spans="1:11" ht="19" x14ac:dyDescent="0.25">
      <c r="A23" s="48" t="s">
        <v>103</v>
      </c>
      <c r="B23" s="43">
        <f>B17/B5*100</f>
        <v>6.9777998621707473</v>
      </c>
      <c r="C23" s="43">
        <f t="shared" ref="C23:K23" si="9">C17/C5*100</f>
        <v>6.9078550825858658</v>
      </c>
      <c r="D23" s="43">
        <f t="shared" si="9"/>
        <v>6.8221227069126158</v>
      </c>
      <c r="E23" s="43">
        <f t="shared" si="9"/>
        <v>6.9769551263825571</v>
      </c>
      <c r="F23" s="43">
        <f t="shared" si="9"/>
        <v>7.6176555315544832</v>
      </c>
      <c r="G23" s="43">
        <f t="shared" si="9"/>
        <v>8.3087867479487389</v>
      </c>
      <c r="H23" s="43">
        <f t="shared" si="9"/>
        <v>8.8422423020650598</v>
      </c>
      <c r="I23" s="43">
        <f t="shared" si="9"/>
        <v>9.279785465479268</v>
      </c>
      <c r="J23" s="43">
        <f t="shared" si="9"/>
        <v>9.7054347163595587</v>
      </c>
      <c r="K23" s="44">
        <f t="shared" si="9"/>
        <v>10.11957824385882</v>
      </c>
    </row>
    <row r="24" spans="1:11" ht="19" x14ac:dyDescent="0.25">
      <c r="A24" s="48" t="s">
        <v>104</v>
      </c>
      <c r="B24" s="43">
        <f>PL_MODEL!B21/BALANCE_SHEET!B8*100</f>
        <v>0.35689567371528869</v>
      </c>
      <c r="C24" s="43">
        <f>PL_MODEL!C21/BALANCE_SHEET!C8*100</f>
        <v>0.23427663757823858</v>
      </c>
      <c r="D24" s="43">
        <f>PL_MODEL!D21/BALANCE_SHEET!D8*100</f>
        <v>0.208811965475554</v>
      </c>
      <c r="E24" s="43">
        <f>PL_MODEL!E21/BALANCE_SHEET!E8*100</f>
        <v>0.54372165980622511</v>
      </c>
      <c r="F24" s="43">
        <f>PL_MODEL!F21/BALANCE_SHEET!F8*100</f>
        <v>1.2296658576713317</v>
      </c>
      <c r="G24" s="43">
        <f>PL_MODEL!G21/BALANCE_SHEET!G8*100</f>
        <v>1.3231008922574659</v>
      </c>
      <c r="H24" s="43">
        <f>PL_MODEL!H21/BALANCE_SHEET!H8*100</f>
        <v>1.1307533684315234</v>
      </c>
      <c r="I24" s="43">
        <f>PL_MODEL!I21/BALANCE_SHEET!I8*100</f>
        <v>1.0189208439628872</v>
      </c>
      <c r="J24" s="43">
        <f>PL_MODEL!J21/BALANCE_SHEET!J8*100</f>
        <v>1.0193344119797068</v>
      </c>
      <c r="K24" s="44">
        <f>PL_MODEL!K21/BALANCE_SHEET!K8*100</f>
        <v>1.0198225279537183</v>
      </c>
    </row>
    <row r="25" spans="1:11" ht="20" thickBot="1" x14ac:dyDescent="0.3">
      <c r="A25" s="57" t="s">
        <v>105</v>
      </c>
      <c r="B25" s="45">
        <f>B17/B8*100</f>
        <v>5.9044929507139789</v>
      </c>
      <c r="C25" s="45">
        <f t="shared" ref="C25:K25" si="10">C17/C8*100</f>
        <v>5.8487685495224762</v>
      </c>
      <c r="D25" s="45">
        <f t="shared" si="10"/>
        <v>5.7803762129021941</v>
      </c>
      <c r="E25" s="45">
        <f t="shared" si="10"/>
        <v>5.9038203505253257</v>
      </c>
      <c r="F25" s="45">
        <f t="shared" si="10"/>
        <v>6.4112151493609106</v>
      </c>
      <c r="G25" s="45">
        <f t="shared" si="10"/>
        <v>6.952448413247196</v>
      </c>
      <c r="H25" s="45">
        <f t="shared" si="10"/>
        <v>7.3659422987244136</v>
      </c>
      <c r="I25" s="45">
        <f t="shared" si="10"/>
        <v>7.7023588891915633</v>
      </c>
      <c r="J25" s="45">
        <f t="shared" si="10"/>
        <v>8.0272940080222295</v>
      </c>
      <c r="K25" s="46">
        <f t="shared" si="10"/>
        <v>8.3412573554434282</v>
      </c>
    </row>
  </sheetData>
  <mergeCells count="1">
    <mergeCell ref="A1:K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363A-C241-C54F-B714-58BCBCF3EAD9}">
  <sheetPr>
    <tabColor theme="7" tint="0.39997558519241921"/>
  </sheetPr>
  <dimension ref="A1:O31"/>
  <sheetViews>
    <sheetView showGridLines="0" topLeftCell="A13" zoomScaleNormal="100" workbookViewId="0">
      <selection activeCell="N21" sqref="N21"/>
    </sheetView>
  </sheetViews>
  <sheetFormatPr baseColWidth="10" defaultRowHeight="16" x14ac:dyDescent="0.2"/>
  <cols>
    <col min="1" max="1" width="30.1640625" bestFit="1" customWidth="1"/>
    <col min="2" max="2" width="15.33203125" customWidth="1"/>
    <col min="3" max="8" width="12.33203125" bestFit="1" customWidth="1"/>
    <col min="14" max="14" width="25.83203125" bestFit="1" customWidth="1"/>
  </cols>
  <sheetData>
    <row r="1" spans="1:15" ht="19" x14ac:dyDescent="0.25">
      <c r="A1" s="192" t="s">
        <v>47</v>
      </c>
      <c r="B1" s="193"/>
      <c r="C1" s="193"/>
      <c r="D1" s="193"/>
      <c r="E1" s="193"/>
      <c r="F1" s="193"/>
      <c r="G1" s="193"/>
      <c r="H1" s="193"/>
      <c r="I1" s="193"/>
      <c r="J1" s="193"/>
      <c r="K1" s="194"/>
    </row>
    <row r="2" spans="1:15" ht="20" thickBot="1" x14ac:dyDescent="0.3">
      <c r="A2" s="21"/>
      <c r="B2" s="22" t="s">
        <v>51</v>
      </c>
      <c r="C2" s="22" t="s">
        <v>26</v>
      </c>
      <c r="D2" s="22" t="s">
        <v>27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48</v>
      </c>
      <c r="J2" s="22" t="s">
        <v>49</v>
      </c>
      <c r="K2" s="23" t="s">
        <v>50</v>
      </c>
    </row>
    <row r="3" spans="1:15" ht="19" x14ac:dyDescent="0.25">
      <c r="A3" s="24" t="s">
        <v>52</v>
      </c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5" ht="19" x14ac:dyDescent="0.25">
      <c r="A4" s="17" t="s">
        <v>53</v>
      </c>
      <c r="B4" s="38">
        <f>(BALANCE_SHEET!B5+BALANCE_SHEET!B6)*B30</f>
        <v>2827.9316147748254</v>
      </c>
      <c r="C4" s="38">
        <f>(BALANCE_SHEET!C5+BALANCE_SHEET!C6)*C30</f>
        <v>2249.3839385854758</v>
      </c>
      <c r="D4" s="38">
        <f>(BALANCE_SHEET!D5+BALANCE_SHEET!D6)*D30</f>
        <v>2162.0590599480047</v>
      </c>
      <c r="E4" s="38">
        <f>(BALANCE_SHEET!E5+BALANCE_SHEET!E6)*E30</f>
        <v>4122.4418790939044</v>
      </c>
      <c r="F4" s="38">
        <f>(BALANCE_SHEET!F5+BALANCE_SHEET!F6)*F30</f>
        <v>8909.6478330882892</v>
      </c>
      <c r="G4" s="38">
        <f>(BALANCE_SHEET!G5+BALANCE_SHEET!G6)*G30</f>
        <v>9864.6135265700468</v>
      </c>
      <c r="H4" s="38">
        <f>(BALANCE_SHEET!H5+BALANCE_SHEET!H6)*H30</f>
        <v>8888.9</v>
      </c>
      <c r="I4" s="38">
        <f>(BALANCE_SHEET!I5+BALANCE_SHEET!I6)*I30</f>
        <v>8395.1437499999993</v>
      </c>
      <c r="J4" s="38">
        <f>(BALANCE_SHEET!J5+BALANCE_SHEET!J6)*J30</f>
        <v>8688.9737812500007</v>
      </c>
      <c r="K4" s="39">
        <f>(BALANCE_SHEET!K5+BALANCE_SHEET!K6)*K30</f>
        <v>8993.0878635937497</v>
      </c>
    </row>
    <row r="5" spans="1:15" ht="19" x14ac:dyDescent="0.25">
      <c r="A5" s="17" t="s">
        <v>54</v>
      </c>
      <c r="B5" s="38">
        <f>(BALANCE_SHEET!B10+BALANCE_SHEET!B11)*B31</f>
        <v>631.75443161134706</v>
      </c>
      <c r="C5" s="38">
        <f>(BALANCE_SHEET!C10+BALANCE_SHEET!C11)*C31</f>
        <v>199.79233899708856</v>
      </c>
      <c r="D5" s="38">
        <f>(BALANCE_SHEET!D10+BALANCE_SHEET!D11)*D31</f>
        <v>95.497105452626514</v>
      </c>
      <c r="E5" s="38">
        <f>(BALANCE_SHEET!E10+BALANCE_SHEET!E11)*E31</f>
        <v>1361.9616712682659</v>
      </c>
      <c r="F5" s="38">
        <f>(BALANCE_SHEET!F10+BALANCE_SHEET!F11)*F31</f>
        <v>4521.2885948330195</v>
      </c>
      <c r="G5" s="38">
        <f>(BALANCE_SHEET!G10+BALANCE_SHEET!G11)*G31</f>
        <v>5110.5543478260879</v>
      </c>
      <c r="H5" s="38">
        <f>(BALANCE_SHEET!H10+BALANCE_SHEET!H11)*H31</f>
        <v>4404.1139999999996</v>
      </c>
      <c r="I5" s="38">
        <f>(BALANCE_SHEET!I10+BALANCE_SHEET!I11)*I31</f>
        <v>4018.8403125</v>
      </c>
      <c r="J5" s="38">
        <f>(BALANCE_SHEET!J10+BALANCE_SHEET!J11)*J31</f>
        <v>4159.4997234374996</v>
      </c>
      <c r="K5" s="39">
        <f>(BALANCE_SHEET!K10+BALANCE_SHEET!K11)*K31</f>
        <v>4305.0822137578125</v>
      </c>
    </row>
    <row r="6" spans="1:15" ht="19" x14ac:dyDescent="0.25">
      <c r="A6" s="17" t="s">
        <v>55</v>
      </c>
      <c r="B6" s="38">
        <f>B4-B5</f>
        <v>2196.1771831634783</v>
      </c>
      <c r="C6" s="38">
        <f t="shared" ref="C6:H6" si="0">C4-C5</f>
        <v>2049.591599588387</v>
      </c>
      <c r="D6" s="38">
        <f t="shared" si="0"/>
        <v>2066.5619544953784</v>
      </c>
      <c r="E6" s="38">
        <f t="shared" si="0"/>
        <v>2760.4802078256384</v>
      </c>
      <c r="F6" s="38">
        <f t="shared" si="0"/>
        <v>4388.3592382552697</v>
      </c>
      <c r="G6" s="38">
        <f t="shared" si="0"/>
        <v>4754.0591787439589</v>
      </c>
      <c r="H6" s="38">
        <f t="shared" si="0"/>
        <v>4484.7860000000001</v>
      </c>
      <c r="I6" s="38">
        <f>I4-I5</f>
        <v>4376.3034374999988</v>
      </c>
      <c r="J6" s="38">
        <f t="shared" ref="J6:K6" si="1">J4-J5</f>
        <v>4529.4740578125011</v>
      </c>
      <c r="K6" s="39">
        <f t="shared" si="1"/>
        <v>4688.0056498359372</v>
      </c>
    </row>
    <row r="7" spans="1:15" ht="19" x14ac:dyDescent="0.25">
      <c r="A7" s="17" t="s">
        <v>56</v>
      </c>
      <c r="B7" s="40">
        <f>(BALANCE_SHEET!B5+BALANCE_SHEET!B6)*ASSUMPTIONS!$B$26</f>
        <v>502.74339818219124</v>
      </c>
      <c r="C7" s="38">
        <f>(BALANCE_SHEET!C5+BALANCE_SHEET!C6)*ASSUMPTIONS!$B$26</f>
        <v>520.33941711856789</v>
      </c>
      <c r="D7" s="38">
        <f>(BALANCE_SHEET!D5+BALANCE_SHEET!D6)*ASSUMPTIONS!$B$26</f>
        <v>538.55129671771783</v>
      </c>
      <c r="E7" s="38">
        <f>(BALANCE_SHEET!E5+BALANCE_SHEET!E6)*ASSUMPTIONS!$B$26</f>
        <v>557.40059210283789</v>
      </c>
      <c r="F7" s="38">
        <f>(BALANCE_SHEET!F5+BALANCE_SHEET!F6)*ASSUMPTIONS!$B$26</f>
        <v>576.90961282643707</v>
      </c>
      <c r="G7" s="38">
        <f>(BALANCE_SHEET!G5+BALANCE_SHEET!G6)*ASSUMPTIONS!$B$26</f>
        <v>597.10144927536237</v>
      </c>
      <c r="H7" s="38">
        <f>(BALANCE_SHEET!H5+BALANCE_SHEET!H6)*ASSUMPTIONS!$B$26</f>
        <v>618</v>
      </c>
      <c r="I7" s="38">
        <f>(BALANCE_SHEET!I5+BALANCE_SHEET!I6)*ASSUMPTIONS!$B$26</f>
        <v>639.63</v>
      </c>
      <c r="J7" s="38">
        <f>(BALANCE_SHEET!J5+BALANCE_SHEET!J6)*ASSUMPTIONS!$B$26</f>
        <v>662.01705000000004</v>
      </c>
      <c r="K7" s="39">
        <f>(BALANCE_SHEET!K5+BALANCE_SHEET!K6)*ASSUMPTIONS!$B$26</f>
        <v>685.18764675</v>
      </c>
    </row>
    <row r="8" spans="1:15" ht="19" x14ac:dyDescent="0.25">
      <c r="A8" s="17" t="s">
        <v>57</v>
      </c>
      <c r="B8" s="38">
        <f>B6*ASSUMPTIONS!$B$8</f>
        <v>109.80885915817392</v>
      </c>
      <c r="C8" s="38">
        <f>C6*ASSUMPTIONS!$B$8</f>
        <v>102.47957997941936</v>
      </c>
      <c r="D8" s="38">
        <f>D6*ASSUMPTIONS!$B$8</f>
        <v>103.32809772476892</v>
      </c>
      <c r="E8" s="38">
        <f>E6*ASSUMPTIONS!$B$8</f>
        <v>138.02401039128193</v>
      </c>
      <c r="F8" s="38">
        <f>F6*ASSUMPTIONS!$B$8</f>
        <v>219.4179619127635</v>
      </c>
      <c r="G8" s="38">
        <f>G6*ASSUMPTIONS!$B$8</f>
        <v>237.70295893719796</v>
      </c>
      <c r="H8" s="38">
        <f>H6*ASSUMPTIONS!$B$8</f>
        <v>224.23930000000001</v>
      </c>
      <c r="I8" s="38">
        <f>I6*ASSUMPTIONS!$B$8</f>
        <v>218.81517187499995</v>
      </c>
      <c r="J8" s="38">
        <f>J6*ASSUMPTIONS!$B$8</f>
        <v>226.47370289062508</v>
      </c>
      <c r="K8" s="39">
        <f>K6*ASSUMPTIONS!$B$8</f>
        <v>234.40028249179687</v>
      </c>
      <c r="O8" s="99"/>
    </row>
    <row r="9" spans="1:15" ht="19" x14ac:dyDescent="0.25">
      <c r="A9" s="17" t="s">
        <v>58</v>
      </c>
      <c r="B9" s="38">
        <f>B7+B8</f>
        <v>612.55225734036514</v>
      </c>
      <c r="C9" s="38">
        <f t="shared" ref="C9:H9" si="2">C7+C8</f>
        <v>622.81899709798722</v>
      </c>
      <c r="D9" s="38">
        <f t="shared" si="2"/>
        <v>641.87939444248673</v>
      </c>
      <c r="E9" s="38">
        <f t="shared" si="2"/>
        <v>695.42460249411988</v>
      </c>
      <c r="F9" s="38">
        <f t="shared" si="2"/>
        <v>796.3275747392006</v>
      </c>
      <c r="G9" s="38">
        <f t="shared" si="2"/>
        <v>834.80440821256036</v>
      </c>
      <c r="H9" s="38">
        <f t="shared" si="2"/>
        <v>842.23929999999996</v>
      </c>
      <c r="I9" s="38">
        <f>I7+I8</f>
        <v>858.44517187499991</v>
      </c>
      <c r="J9" s="38">
        <f t="shared" ref="J9:K9" si="3">J7+J8</f>
        <v>888.49075289062512</v>
      </c>
      <c r="K9" s="39">
        <f t="shared" si="3"/>
        <v>919.58792924179693</v>
      </c>
      <c r="O9" s="99"/>
    </row>
    <row r="10" spans="1:15" ht="20" thickBot="1" x14ac:dyDescent="0.3">
      <c r="A10" s="19" t="s">
        <v>59</v>
      </c>
      <c r="B10" s="41">
        <f>B6+B9</f>
        <v>2808.7294405038433</v>
      </c>
      <c r="C10" s="41">
        <f t="shared" ref="C10:F10" si="4">C6+C9</f>
        <v>2672.4105966863744</v>
      </c>
      <c r="D10" s="41">
        <f t="shared" si="4"/>
        <v>2708.4413489378649</v>
      </c>
      <c r="E10" s="41">
        <f t="shared" si="4"/>
        <v>3455.9048103197583</v>
      </c>
      <c r="F10" s="41">
        <f t="shared" si="4"/>
        <v>5184.6868129944705</v>
      </c>
      <c r="G10" s="41">
        <f>G6+G9</f>
        <v>5588.8635869565196</v>
      </c>
      <c r="H10" s="41">
        <f>H6+H9</f>
        <v>5327.0253000000002</v>
      </c>
      <c r="I10" s="41">
        <f>I6+I9</f>
        <v>5234.7486093749985</v>
      </c>
      <c r="J10" s="41">
        <f t="shared" ref="J10:K10" si="5">J6+J9</f>
        <v>5417.9648107031262</v>
      </c>
      <c r="K10" s="42">
        <f t="shared" si="5"/>
        <v>5607.5935790777339</v>
      </c>
      <c r="O10" s="99"/>
    </row>
    <row r="11" spans="1:15" ht="19" x14ac:dyDescent="0.25">
      <c r="A11" s="24" t="s">
        <v>60</v>
      </c>
      <c r="B11" s="29"/>
      <c r="C11" s="29"/>
      <c r="D11" s="29"/>
      <c r="E11" s="29"/>
      <c r="F11" s="29"/>
      <c r="G11" s="29"/>
      <c r="H11" s="29"/>
      <c r="I11" s="29"/>
      <c r="J11" s="29"/>
      <c r="K11" s="30"/>
      <c r="O11" s="99"/>
    </row>
    <row r="12" spans="1:15" ht="19" x14ac:dyDescent="0.25">
      <c r="A12" s="17" t="s">
        <v>61</v>
      </c>
      <c r="B12" s="38">
        <f>B10*ASSUMPTIONS!$B$10</f>
        <v>983.05530417634509</v>
      </c>
      <c r="C12" s="38">
        <f>B12*(1+ASSUMPTIONS!$B$25)</f>
        <v>1012.5469633016355</v>
      </c>
      <c r="D12" s="38">
        <f>C12*(1+ASSUMPTIONS!$B$25)</f>
        <v>1042.9233722006845</v>
      </c>
      <c r="E12" s="38">
        <f>D12*(1+ASSUMPTIONS!$B$25)</f>
        <v>1074.211073366705</v>
      </c>
      <c r="F12" s="38">
        <f>E12*(1+ASSUMPTIONS!$B$25)</f>
        <v>1106.4374055677063</v>
      </c>
      <c r="G12" s="38">
        <f>F12*(1+ASSUMPTIONS!$B$25)</f>
        <v>1139.6305277347374</v>
      </c>
      <c r="H12" s="38">
        <f>G12*(1+ASSUMPTIONS!$B$25)</f>
        <v>1173.8194435667795</v>
      </c>
      <c r="I12" s="38">
        <f>H12*(1+ASSUMPTIONS!$B$25)</f>
        <v>1209.034026873783</v>
      </c>
      <c r="J12" s="38">
        <f>I12*(1+ASSUMPTIONS!$B$25)</f>
        <v>1245.3050476799965</v>
      </c>
      <c r="K12" s="39">
        <f>J12*(1+ASSUMPTIONS!$B$25)</f>
        <v>1282.6641991103963</v>
      </c>
      <c r="O12" s="99"/>
    </row>
    <row r="13" spans="1:15" ht="19" x14ac:dyDescent="0.25">
      <c r="A13" s="17" t="s">
        <v>62</v>
      </c>
      <c r="B13" s="38">
        <f>B10*ASSUMPTIONS!$B$11</f>
        <v>337.04753286046116</v>
      </c>
      <c r="C13" s="38">
        <f>B13*(1+ASSUMPTIONS!$B$25)</f>
        <v>347.15895884627503</v>
      </c>
      <c r="D13" s="38">
        <f>C13*(1+ASSUMPTIONS!$B$25)</f>
        <v>357.57372761166329</v>
      </c>
      <c r="E13" s="38">
        <f>D13*(1+ASSUMPTIONS!$B$25)</f>
        <v>368.30093944001317</v>
      </c>
      <c r="F13" s="38">
        <f>E13*(1+ASSUMPTIONS!$B$25)</f>
        <v>379.34996762321356</v>
      </c>
      <c r="G13" s="38">
        <f>F13*(1+ASSUMPTIONS!$B$25)</f>
        <v>390.73046665190998</v>
      </c>
      <c r="H13" s="38">
        <f>G13*(1+ASSUMPTIONS!$B$25)</f>
        <v>402.45238065146731</v>
      </c>
      <c r="I13" s="38">
        <f>H13*(1+ASSUMPTIONS!$B$25)</f>
        <v>414.52595207101132</v>
      </c>
      <c r="J13" s="38">
        <f>I13*(1+ASSUMPTIONS!$B$25)</f>
        <v>426.96173063314166</v>
      </c>
      <c r="K13" s="39">
        <f>J13*(1+ASSUMPTIONS!$B$25)</f>
        <v>439.77058255213592</v>
      </c>
      <c r="O13" s="99"/>
    </row>
    <row r="14" spans="1:15" ht="19" x14ac:dyDescent="0.25">
      <c r="A14" s="17" t="s">
        <v>63</v>
      </c>
      <c r="B14" s="38">
        <f>B10*ASSUMPTIONS!$B$12</f>
        <v>224.69835524030748</v>
      </c>
      <c r="C14" s="38">
        <f>B14*(1+ASSUMPTIONS!$B$25)</f>
        <v>231.4393058975167</v>
      </c>
      <c r="D14" s="38">
        <f>C14*(1+ASSUMPTIONS!$B$25)</f>
        <v>238.3824850744422</v>
      </c>
      <c r="E14" s="38">
        <f>D14*(1+ASSUMPTIONS!$B$25)</f>
        <v>245.53395962667548</v>
      </c>
      <c r="F14" s="38">
        <f>E14*(1+ASSUMPTIONS!$B$25)</f>
        <v>252.89997841547574</v>
      </c>
      <c r="G14" s="38">
        <f>F14*(1+ASSUMPTIONS!$B$25)</f>
        <v>260.48697776794</v>
      </c>
      <c r="H14" s="38">
        <f>G14*(1+ASSUMPTIONS!$B$25)</f>
        <v>268.30158710097822</v>
      </c>
      <c r="I14" s="38">
        <f>H14*(1+ASSUMPTIONS!$B$25)</f>
        <v>276.35063471400758</v>
      </c>
      <c r="J14" s="38">
        <f>I14*(1+ASSUMPTIONS!$B$25)</f>
        <v>284.64115375542781</v>
      </c>
      <c r="K14" s="39">
        <f>J14*(1+ASSUMPTIONS!$B$25)</f>
        <v>293.18038836809063</v>
      </c>
      <c r="O14" s="99"/>
    </row>
    <row r="15" spans="1:15" ht="19" x14ac:dyDescent="0.25">
      <c r="A15" s="17" t="s">
        <v>64</v>
      </c>
      <c r="B15" s="38">
        <f>B10*ASSUMPTIONS!$B$13</f>
        <v>140.43647202519216</v>
      </c>
      <c r="C15" s="38">
        <f>B15*(1+ASSUMPTIONS!$B$25)</f>
        <v>144.64956618594792</v>
      </c>
      <c r="D15" s="38">
        <f>C15*(1+ASSUMPTIONS!$B$25)</f>
        <v>148.98905317152636</v>
      </c>
      <c r="E15" s="38">
        <f>D15*(1+ASSUMPTIONS!$B$25)</f>
        <v>153.45872476667216</v>
      </c>
      <c r="F15" s="38">
        <f>E15*(1+ASSUMPTIONS!$B$25)</f>
        <v>158.06248650967234</v>
      </c>
      <c r="G15" s="38">
        <f>F15*(1+ASSUMPTIONS!$B$25)</f>
        <v>162.80436110496251</v>
      </c>
      <c r="H15" s="38">
        <f>G15*(1+ASSUMPTIONS!$B$25)</f>
        <v>167.68849193811138</v>
      </c>
      <c r="I15" s="38">
        <f>H15*(1+ASSUMPTIONS!$B$25)</f>
        <v>172.71914669625474</v>
      </c>
      <c r="J15" s="38">
        <f>I15*(1+ASSUMPTIONS!$B$25)</f>
        <v>177.90072109714239</v>
      </c>
      <c r="K15" s="39">
        <f>J15*(1+ASSUMPTIONS!$B$25)</f>
        <v>183.23774273005668</v>
      </c>
    </row>
    <row r="16" spans="1:15" ht="19" x14ac:dyDescent="0.25">
      <c r="A16" s="17" t="s">
        <v>65</v>
      </c>
      <c r="B16" s="38">
        <f>B12+B13+B14+B15</f>
        <v>1685.237664302306</v>
      </c>
      <c r="C16" s="38">
        <f t="shared" ref="C16:G16" si="6">C12+C13+C14+C15</f>
        <v>1735.7947942313751</v>
      </c>
      <c r="D16" s="38">
        <f t="shared" si="6"/>
        <v>1787.8686380583165</v>
      </c>
      <c r="E16" s="38">
        <f t="shared" si="6"/>
        <v>1841.5046972000659</v>
      </c>
      <c r="F16" s="38">
        <f t="shared" si="6"/>
        <v>1896.7498381160681</v>
      </c>
      <c r="G16" s="38">
        <f t="shared" si="6"/>
        <v>1953.6523332595498</v>
      </c>
      <c r="H16" s="38">
        <f>H12+H13+H14+H15</f>
        <v>2012.2619032573364</v>
      </c>
      <c r="I16" s="38">
        <f t="shared" ref="I16:K16" si="7">I12+I13+I14+I15</f>
        <v>2072.6297603550565</v>
      </c>
      <c r="J16" s="38">
        <f>J12+J13+J14+J15</f>
        <v>2134.8086531657082</v>
      </c>
      <c r="K16" s="39">
        <f t="shared" si="7"/>
        <v>2198.8529127606798</v>
      </c>
    </row>
    <row r="17" spans="1:11" ht="19" x14ac:dyDescent="0.25">
      <c r="A17" s="17" t="s">
        <v>66</v>
      </c>
      <c r="B17" s="38">
        <f t="shared" ref="B17:K17" si="8">B10-B16</f>
        <v>1123.4917762015373</v>
      </c>
      <c r="C17" s="38">
        <f t="shared" si="8"/>
        <v>936.61580245499931</v>
      </c>
      <c r="D17" s="38">
        <f t="shared" si="8"/>
        <v>920.57271087954837</v>
      </c>
      <c r="E17" s="38">
        <f t="shared" si="8"/>
        <v>1614.4001131196924</v>
      </c>
      <c r="F17" s="38">
        <f t="shared" si="8"/>
        <v>3287.9369748784025</v>
      </c>
      <c r="G17" s="38">
        <f t="shared" si="8"/>
        <v>3635.2112536969698</v>
      </c>
      <c r="H17" s="38">
        <f t="shared" si="8"/>
        <v>3314.7633967426636</v>
      </c>
      <c r="I17" s="38">
        <f t="shared" si="8"/>
        <v>3162.118849019942</v>
      </c>
      <c r="J17" s="38">
        <f t="shared" si="8"/>
        <v>3283.156157537418</v>
      </c>
      <c r="K17" s="39">
        <f t="shared" si="8"/>
        <v>3408.7406663170541</v>
      </c>
    </row>
    <row r="18" spans="1:11" ht="19" x14ac:dyDescent="0.25">
      <c r="A18" s="17" t="s">
        <v>67</v>
      </c>
      <c r="B18" s="38">
        <f>BALANCE_SHEET!B5*ASSUMPTIONS!$B$20</f>
        <v>488.10038658465174</v>
      </c>
      <c r="C18" s="38">
        <f>BALANCE_SHEET!C5*ASSUMPTIONS!$B$20</f>
        <v>505.18390011511445</v>
      </c>
      <c r="D18" s="38">
        <f>BALANCE_SHEET!D5*ASSUMPTIONS!$B$20</f>
        <v>522.86533661914348</v>
      </c>
      <c r="E18" s="38">
        <f>BALANCE_SHEET!E5*ASSUMPTIONS!$B$20</f>
        <v>541.1656234008135</v>
      </c>
      <c r="F18" s="38">
        <f>BALANCE_SHEET!F5*ASSUMPTIONS!$B$20</f>
        <v>560.10642021984188</v>
      </c>
      <c r="G18" s="38">
        <f>BALANCE_SHEET!G5*ASSUMPTIONS!$B$20</f>
        <v>579.71014492753625</v>
      </c>
      <c r="H18" s="38">
        <f>BALANCE_SHEET!H5*ASSUMPTIONS!$B$20</f>
        <v>600</v>
      </c>
      <c r="I18" s="38">
        <f>BALANCE_SHEET!I5*ASSUMPTIONS!$B$20</f>
        <v>621</v>
      </c>
      <c r="J18" s="38">
        <f>BALANCE_SHEET!J5*ASSUMPTIONS!$B$20</f>
        <v>642.73500000000001</v>
      </c>
      <c r="K18" s="39">
        <f>BALANCE_SHEET!K5*ASSUMPTIONS!$B$20</f>
        <v>665.23072500000001</v>
      </c>
    </row>
    <row r="19" spans="1:11" ht="19" x14ac:dyDescent="0.25">
      <c r="A19" s="17" t="s">
        <v>68</v>
      </c>
      <c r="B19" s="38">
        <f>B17-B18</f>
        <v>635.39138961688559</v>
      </c>
      <c r="C19" s="38">
        <f t="shared" ref="C19:H19" si="9">C17-C18</f>
        <v>431.43190233988486</v>
      </c>
      <c r="D19" s="38">
        <f t="shared" si="9"/>
        <v>397.70737426040489</v>
      </c>
      <c r="E19" s="38">
        <f t="shared" si="9"/>
        <v>1073.2344897188789</v>
      </c>
      <c r="F19" s="38">
        <f t="shared" si="9"/>
        <v>2727.8305546585607</v>
      </c>
      <c r="G19" s="38">
        <f t="shared" si="9"/>
        <v>3055.5011087694338</v>
      </c>
      <c r="H19" s="38">
        <f t="shared" si="9"/>
        <v>2714.7633967426636</v>
      </c>
      <c r="I19" s="38">
        <f>I17-I18</f>
        <v>2541.118849019942</v>
      </c>
      <c r="J19" s="38">
        <f t="shared" ref="J19:K19" si="10">J17-J18</f>
        <v>2640.4211575374179</v>
      </c>
      <c r="K19" s="39">
        <f t="shared" si="10"/>
        <v>2743.5099413170542</v>
      </c>
    </row>
    <row r="20" spans="1:11" ht="19" x14ac:dyDescent="0.25">
      <c r="A20" s="17" t="s">
        <v>69</v>
      </c>
      <c r="B20" s="38">
        <f>B19*ASSUMPTIONS!$B$15</f>
        <v>120.72436402720827</v>
      </c>
      <c r="C20" s="38">
        <f>C19*ASSUMPTIONS!$B$15</f>
        <v>81.972061444578131</v>
      </c>
      <c r="D20" s="38">
        <f>D19*ASSUMPTIONS!$B$15</f>
        <v>75.564401109476933</v>
      </c>
      <c r="E20" s="38">
        <f>E19*ASSUMPTIONS!$B$15</f>
        <v>203.914553046587</v>
      </c>
      <c r="F20" s="38">
        <f>F19*ASSUMPTIONS!$B$14</f>
        <v>681.95763866464017</v>
      </c>
      <c r="G20" s="38">
        <f>G19*ASSUMPTIONS!$B$14</f>
        <v>763.87527719235845</v>
      </c>
      <c r="H20" s="38">
        <f>H19*ASSUMPTIONS!$B$14</f>
        <v>678.69084918566591</v>
      </c>
      <c r="I20" s="38">
        <f>I19*ASSUMPTIONS!$B$14</f>
        <v>635.2797122549855</v>
      </c>
      <c r="J20" s="38">
        <f>J19*ASSUMPTIONS!$B$14</f>
        <v>660.10528938435448</v>
      </c>
      <c r="K20" s="39">
        <f>K19*ASSUMPTIONS!$B$14</f>
        <v>685.87748532926355</v>
      </c>
    </row>
    <row r="21" spans="1:11" ht="20" thickBot="1" x14ac:dyDescent="0.3">
      <c r="A21" s="31" t="s">
        <v>70</v>
      </c>
      <c r="B21" s="32">
        <f>B19-B20</f>
        <v>514.66702558967734</v>
      </c>
      <c r="C21" s="32">
        <f t="shared" ref="C21:H21" si="11">C19-C20</f>
        <v>349.45984089530674</v>
      </c>
      <c r="D21" s="32">
        <f t="shared" si="11"/>
        <v>322.14297315092796</v>
      </c>
      <c r="E21" s="32">
        <f t="shared" si="11"/>
        <v>869.31993667229187</v>
      </c>
      <c r="F21" s="32">
        <f t="shared" si="11"/>
        <v>2045.8729159939205</v>
      </c>
      <c r="G21" s="32">
        <f t="shared" si="11"/>
        <v>2291.6258315770756</v>
      </c>
      <c r="H21" s="32">
        <f t="shared" si="11"/>
        <v>2036.0725475569977</v>
      </c>
      <c r="I21" s="32">
        <f>I19-I20</f>
        <v>1905.8391367649565</v>
      </c>
      <c r="J21" s="32">
        <f t="shared" ref="J21:K21" si="12">J19-J20</f>
        <v>1980.3158681530635</v>
      </c>
      <c r="K21" s="33">
        <f t="shared" si="12"/>
        <v>2057.6324559877908</v>
      </c>
    </row>
    <row r="22" spans="1:11" ht="19" x14ac:dyDescent="0.25">
      <c r="A22" s="20" t="s">
        <v>71</v>
      </c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9" x14ac:dyDescent="0.25">
      <c r="A23" s="17" t="s">
        <v>25</v>
      </c>
      <c r="B23" s="43">
        <f t="shared" ref="B23:K23" si="13">B16/B10*100</f>
        <v>60</v>
      </c>
      <c r="C23" s="43">
        <f t="shared" si="13"/>
        <v>64.952399020706423</v>
      </c>
      <c r="D23" s="43">
        <f t="shared" si="13"/>
        <v>66.010978556336184</v>
      </c>
      <c r="E23" s="43">
        <f t="shared" si="13"/>
        <v>53.285747098736792</v>
      </c>
      <c r="F23" s="43">
        <f t="shared" si="13"/>
        <v>36.583691677619001</v>
      </c>
      <c r="G23" s="43">
        <f t="shared" si="13"/>
        <v>34.956164215906973</v>
      </c>
      <c r="H23" s="43">
        <f t="shared" si="13"/>
        <v>37.774588817089651</v>
      </c>
      <c r="I23" s="43">
        <f t="shared" si="13"/>
        <v>39.593682811112444</v>
      </c>
      <c r="J23" s="43">
        <f t="shared" si="13"/>
        <v>39.402408981107051</v>
      </c>
      <c r="K23" s="44">
        <f t="shared" si="13"/>
        <v>39.212059179265971</v>
      </c>
    </row>
    <row r="24" spans="1:11" ht="19" x14ac:dyDescent="0.25">
      <c r="A24" s="17" t="s">
        <v>23</v>
      </c>
      <c r="B24" s="43">
        <f>B6/(BALANCE_SHEET!B5+BALANCE_SHEET!B6)*100</f>
        <v>1.7473543689320383</v>
      </c>
      <c r="C24" s="43">
        <f>C6/(BALANCE_SHEET!C5+BALANCE_SHEET!C6)*100</f>
        <v>1.5755805016181228</v>
      </c>
      <c r="D24" s="43">
        <f>D6/(BALANCE_SHEET!D5+BALANCE_SHEET!D6)*100</f>
        <v>1.5349044498381881</v>
      </c>
      <c r="E24" s="43">
        <f>E6/(BALANCE_SHEET!E5+BALANCE_SHEET!E6)*100</f>
        <v>1.9809668284789639</v>
      </c>
      <c r="F24" s="43">
        <f>F6/(BALANCE_SHEET!F5+BALANCE_SHEET!F6)*100</f>
        <v>3.0426667475728157</v>
      </c>
      <c r="G24" s="43">
        <f>G6/(BALANCE_SHEET!G5+BALANCE_SHEET!G6)*100</f>
        <v>3.1847580906148849</v>
      </c>
      <c r="H24" s="43">
        <f>H6/(BALANCE_SHEET!H5+BALANCE_SHEET!H6)*100</f>
        <v>2.9027741100323623</v>
      </c>
      <c r="I24" s="43">
        <f>I6/(BALANCE_SHEET!I5+BALANCE_SHEET!I6)*100</f>
        <v>2.7367718446601934</v>
      </c>
      <c r="J24" s="43">
        <f>J6/(BALANCE_SHEET!J5+BALANCE_SHEET!J6)*100</f>
        <v>2.7367718446601947</v>
      </c>
      <c r="K24" s="44">
        <f>K6/(BALANCE_SHEET!K5+BALANCE_SHEET!K6)*100</f>
        <v>2.7367718446601943</v>
      </c>
    </row>
    <row r="25" spans="1:11" ht="19" x14ac:dyDescent="0.25">
      <c r="A25" s="17" t="s">
        <v>72</v>
      </c>
      <c r="B25" s="43">
        <f>B21/BALANCE_SHEET!B17*100</f>
        <v>6.0444762436735973</v>
      </c>
      <c r="C25" s="43">
        <f>C21/BALANCE_SHEET!C17*100</f>
        <v>4.0055720378500217</v>
      </c>
      <c r="D25" s="43">
        <f>D21/BALANCE_SHEET!D17*100</f>
        <v>3.6124286341340808</v>
      </c>
      <c r="E25" s="43">
        <f>E21/BALANCE_SHEET!E17*100</f>
        <v>9.20965794221439</v>
      </c>
      <c r="F25" s="43">
        <f>F21/BALANCE_SHEET!F17*100</f>
        <v>19.179918767722352</v>
      </c>
      <c r="G25" s="43">
        <f>G21/BALANCE_SHEET!G17*100</f>
        <v>19.030718584497933</v>
      </c>
      <c r="H25" s="43">
        <f>H21/BALANCE_SHEET!H17*100</f>
        <v>15.351102718077769</v>
      </c>
      <c r="I25" s="43">
        <f>I21/BALANCE_SHEET!I17*100</f>
        <v>13.228685635418797</v>
      </c>
      <c r="J25" s="43">
        <f>J21/BALANCE_SHEET!J17*100</f>
        <v>12.698356519158455</v>
      </c>
      <c r="K25" s="44">
        <f>K21/BALANCE_SHEET!K17*100</f>
        <v>12.226244611529596</v>
      </c>
    </row>
    <row r="26" spans="1:11" ht="20" thickBot="1" x14ac:dyDescent="0.3">
      <c r="A26" s="19" t="s">
        <v>264</v>
      </c>
      <c r="B26" s="45">
        <f t="shared" ref="B26:K26" si="14">B18/B17*100</f>
        <v>43.444945207778183</v>
      </c>
      <c r="C26" s="45">
        <f t="shared" si="14"/>
        <v>53.937153183937085</v>
      </c>
      <c r="D26" s="45">
        <f t="shared" si="14"/>
        <v>56.797831441210015</v>
      </c>
      <c r="E26" s="45">
        <f t="shared" si="14"/>
        <v>33.521158664629702</v>
      </c>
      <c r="F26" s="45">
        <f t="shared" si="14"/>
        <v>17.035193329414604</v>
      </c>
      <c r="G26" s="45">
        <f t="shared" si="14"/>
        <v>15.947082699471107</v>
      </c>
      <c r="H26" s="45">
        <f t="shared" si="14"/>
        <v>18.100839432147865</v>
      </c>
      <c r="I26" s="45">
        <f t="shared" si="14"/>
        <v>19.638730536408236</v>
      </c>
      <c r="J26" s="45">
        <f t="shared" si="14"/>
        <v>19.576741682676872</v>
      </c>
      <c r="K26" s="46">
        <f t="shared" si="14"/>
        <v>19.515439574895648</v>
      </c>
    </row>
    <row r="27" spans="1:11" ht="19" x14ac:dyDescent="0.25">
      <c r="A27" s="149" t="s">
        <v>275</v>
      </c>
    </row>
    <row r="28" spans="1:11" ht="19" x14ac:dyDescent="0.25">
      <c r="A28" s="148" t="s">
        <v>196</v>
      </c>
      <c r="B28" s="150">
        <v>2019</v>
      </c>
      <c r="C28" s="150">
        <v>2020</v>
      </c>
      <c r="D28" s="150">
        <v>2021</v>
      </c>
      <c r="E28" s="150">
        <v>2022</v>
      </c>
      <c r="F28" s="150">
        <v>2023</v>
      </c>
      <c r="G28" s="150">
        <v>2024</v>
      </c>
      <c r="H28" s="150">
        <v>2025</v>
      </c>
      <c r="I28" s="150">
        <v>2026</v>
      </c>
      <c r="J28" s="150">
        <v>2027</v>
      </c>
      <c r="K28" s="150">
        <v>2028</v>
      </c>
    </row>
    <row r="29" spans="1:11" ht="19" x14ac:dyDescent="0.25">
      <c r="A29" s="148" t="s">
        <v>276</v>
      </c>
      <c r="B29" s="100">
        <f>IFERROR(AVERAGEIFS(RAW_DATA!$B$2:$B$198,RAW_DATA!$A$2:$A$198,"&gt;="&amp;DATE(B28,1,1),RAW_DATA!$A$2:$A$198,"&lt;="&amp;DATE(B28,12,31))/100,ASSUMPTIONS!$B$4)</f>
        <v>7.4999999999999997E-3</v>
      </c>
      <c r="C29" s="100">
        <f>IFERROR(AVERAGEIFS(RAW_DATA!$B$2:$B$198,RAW_DATA!$A$2:$A$198,"&gt;="&amp;DATE(C28,1,1),RAW_DATA!$A$2:$A$198,"&lt;="&amp;DATE(C28,12,31))/100,ASSUMPTIONS!$B$4)</f>
        <v>2.2916666666666675E-3</v>
      </c>
      <c r="D29" s="100">
        <f>IFERROR(AVERAGEIFS(RAW_DATA!$B$2:$B$198,RAW_DATA!$A$2:$A$198,"&gt;="&amp;DATE(D28,1,1),RAW_DATA!$A$2:$A$198,"&lt;="&amp;DATE(D28,12,31))/100,ASSUMPTIONS!$B$4)</f>
        <v>1.0583333333333332E-3</v>
      </c>
      <c r="E29" s="100">
        <f>IFERROR(AVERAGEIFS(RAW_DATA!$B$2:$B$198,RAW_DATA!$A$2:$A$198,"&gt;="&amp;DATE(E28,1,1),RAW_DATA!$A$2:$A$198,"&lt;="&amp;DATE(E28,12,31))/100,ASSUMPTIONS!$B$4)</f>
        <v>1.4583333333333332E-2</v>
      </c>
      <c r="F29" s="100">
        <f>IFERROR(AVERAGEIFS(RAW_DATA!$B$2:$B$198,RAW_DATA!$A$2:$A$198,"&gt;="&amp;DATE(F28,1,1),RAW_DATA!$A$2:$A$198,"&lt;="&amp;DATE(F28,12,31))/100,ASSUMPTIONS!$B$4)</f>
        <v>4.6775000000000004E-2</v>
      </c>
      <c r="G29" s="100">
        <f>IFERROR(AVERAGEIFS(RAW_DATA!$B$2:$B$198,RAW_DATA!$A$2:$A$198,"&gt;="&amp;DATE(G28,1,1),RAW_DATA!$A$2:$A$198,"&lt;="&amp;DATE(G28,12,31))/100,ASSUMPTIONS!$B$4)</f>
        <v>5.1083333333333335E-2</v>
      </c>
      <c r="H29" s="100">
        <f>IFERROR(AVERAGEIFS(RAW_DATA!$B$2:$B$198,RAW_DATA!$A$2:$A$198,"&gt;="&amp;DATE(H28,1,1),RAW_DATA!$A$2:$A$198,"&lt;="&amp;DATE(H28,12,31))/100,ASSUMPTIONS!$B$4)</f>
        <v>4.2533333333333333E-2</v>
      </c>
      <c r="I29" s="100">
        <f>IFERROR(AVERAGEIFS(RAW_DATA!$B$2:$B$198,RAW_DATA!$A$2:$A$198,"&gt;="&amp;DATE(I28,1,1),RAW_DATA!$A$2:$A$198,"&lt;="&amp;DATE(I28,12,31))/100,ASSUMPTIONS!$B$4)</f>
        <v>3.7499999999999999E-2</v>
      </c>
      <c r="J29" s="100">
        <f>IFERROR(AVERAGEIFS(RAW_DATA!$B$2:$B$198,RAW_DATA!$A$2:$A$198,"&gt;="&amp;DATE(J28,1,1),RAW_DATA!$A$2:$A$198,"&lt;="&amp;DATE(J28,12,31))/100,ASSUMPTIONS!$B$4)</f>
        <v>3.7499999999999999E-2</v>
      </c>
      <c r="K29" s="100">
        <f>IFERROR(AVERAGEIFS(RAW_DATA!$B$2:$B$198,RAW_DATA!$A$2:$A$198,"&gt;="&amp;DATE(K28,1,1),RAW_DATA!$A$2:$A$198,"&lt;="&amp;DATE(K28,12,31))/100,ASSUMPTIONS!$B$4)</f>
        <v>3.7499999999999999E-2</v>
      </c>
    </row>
    <row r="30" spans="1:11" ht="19" x14ac:dyDescent="0.25">
      <c r="A30" s="148" t="s">
        <v>277</v>
      </c>
      <c r="B30" s="100">
        <f>B29+ASSUMPTIONS!$B$23</f>
        <v>2.2499999999999999E-2</v>
      </c>
      <c r="C30" s="100">
        <f>C29+ASSUMPTIONS!$B$23</f>
        <v>1.7291666666666667E-2</v>
      </c>
      <c r="D30" s="100">
        <f>D29+ASSUMPTIONS!$B$23</f>
        <v>1.6058333333333334E-2</v>
      </c>
      <c r="E30" s="100">
        <f>E29+ASSUMPTIONS!$B$23</f>
        <v>2.958333333333333E-2</v>
      </c>
      <c r="F30" s="100">
        <f>F29+ASSUMPTIONS!$B$23</f>
        <v>6.1775000000000004E-2</v>
      </c>
      <c r="G30" s="100">
        <f>G29+ASSUMPTIONS!$B$23</f>
        <v>6.6083333333333327E-2</v>
      </c>
      <c r="H30" s="100">
        <f>H29+ASSUMPTIONS!$B$23</f>
        <v>5.7533333333333332E-2</v>
      </c>
      <c r="I30" s="100">
        <f>I29+ASSUMPTIONS!$B$23</f>
        <v>5.2499999999999998E-2</v>
      </c>
      <c r="J30" s="100">
        <f>J29+ASSUMPTIONS!$B$23</f>
        <v>5.2499999999999998E-2</v>
      </c>
      <c r="K30" s="100">
        <f>K29+ASSUMPTIONS!$B$23</f>
        <v>5.2499999999999998E-2</v>
      </c>
    </row>
    <row r="31" spans="1:11" ht="19" x14ac:dyDescent="0.25">
      <c r="A31" s="148" t="s">
        <v>278</v>
      </c>
      <c r="B31" s="100">
        <f>B29*ASSUMPTIONS!$B$24</f>
        <v>4.875E-3</v>
      </c>
      <c r="C31" s="100">
        <f>C29*ASSUMPTIONS!$B$24</f>
        <v>1.4895833333333339E-3</v>
      </c>
      <c r="D31" s="100">
        <f>D29*ASSUMPTIONS!$B$24</f>
        <v>6.8791666666666665E-4</v>
      </c>
      <c r="E31" s="100">
        <f>E29*ASSUMPTIONS!$B$24</f>
        <v>9.4791666666666653E-3</v>
      </c>
      <c r="F31" s="100">
        <f>F29*ASSUMPTIONS!$B$24</f>
        <v>3.0403750000000004E-2</v>
      </c>
      <c r="G31" s="100">
        <f>G29*ASSUMPTIONS!$B$24</f>
        <v>3.3204166666666667E-2</v>
      </c>
      <c r="H31" s="100">
        <f>H29*ASSUMPTIONS!$B$24</f>
        <v>2.7646666666666667E-2</v>
      </c>
      <c r="I31" s="100">
        <f>I29*ASSUMPTIONS!$B$24</f>
        <v>2.4375000000000001E-2</v>
      </c>
      <c r="J31" s="100">
        <f>J29*ASSUMPTIONS!$B$24</f>
        <v>2.4375000000000001E-2</v>
      </c>
      <c r="K31" s="100">
        <f>K29*ASSUMPTIONS!$B$24</f>
        <v>2.4375000000000001E-2</v>
      </c>
    </row>
  </sheetData>
  <mergeCells count="1">
    <mergeCell ref="A1:K1"/>
  </mergeCells>
  <pageMargins left="0.7" right="0.7" top="0.75" bottom="0.75" header="0.3" footer="0.3"/>
  <ignoredErrors>
    <ignoredError sqref="I20:K2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4FF2-6249-A142-B0D3-B151FE76F7AD}">
  <sheetPr>
    <tabColor theme="9" tint="-0.249977111117893"/>
  </sheetPr>
  <dimension ref="A1:K23"/>
  <sheetViews>
    <sheetView showGridLines="0" workbookViewId="0">
      <selection activeCell="M5" sqref="M5"/>
    </sheetView>
  </sheetViews>
  <sheetFormatPr baseColWidth="10" defaultRowHeight="16" x14ac:dyDescent="0.2"/>
  <cols>
    <col min="1" max="1" width="52.1640625" bestFit="1" customWidth="1"/>
  </cols>
  <sheetData>
    <row r="1" spans="1:11" ht="19" x14ac:dyDescent="0.25">
      <c r="A1" s="192" t="s">
        <v>106</v>
      </c>
      <c r="B1" s="193"/>
      <c r="C1" s="193"/>
      <c r="D1" s="193"/>
      <c r="E1" s="193"/>
      <c r="F1" s="193"/>
      <c r="G1" s="193"/>
      <c r="H1" s="193"/>
      <c r="I1" s="193"/>
      <c r="J1" s="193"/>
      <c r="K1" s="194"/>
    </row>
    <row r="2" spans="1:11" ht="20" thickBot="1" x14ac:dyDescent="0.3">
      <c r="A2" s="31"/>
      <c r="B2" s="22" t="s">
        <v>107</v>
      </c>
      <c r="C2" s="22" t="s">
        <v>108</v>
      </c>
      <c r="D2" s="22" t="s">
        <v>109</v>
      </c>
      <c r="E2" s="22" t="s">
        <v>110</v>
      </c>
      <c r="F2" s="22" t="s">
        <v>111</v>
      </c>
      <c r="G2" s="22" t="s">
        <v>112</v>
      </c>
      <c r="H2" s="22" t="s">
        <v>113</v>
      </c>
      <c r="I2" s="22" t="s">
        <v>114</v>
      </c>
      <c r="J2" s="22" t="s">
        <v>115</v>
      </c>
      <c r="K2" s="23" t="s">
        <v>83</v>
      </c>
    </row>
    <row r="3" spans="1:11" ht="19" x14ac:dyDescent="0.25">
      <c r="A3" s="24" t="s">
        <v>116</v>
      </c>
      <c r="B3" s="36"/>
      <c r="C3" s="36"/>
      <c r="D3" s="36"/>
      <c r="E3" s="36"/>
      <c r="F3" s="36"/>
      <c r="G3" s="36"/>
      <c r="H3" s="36"/>
      <c r="I3" s="36"/>
      <c r="J3" s="36"/>
      <c r="K3" s="37"/>
    </row>
    <row r="4" spans="1:11" ht="19" x14ac:dyDescent="0.25">
      <c r="A4" s="16" t="s">
        <v>70</v>
      </c>
      <c r="B4" s="15" t="s">
        <v>134</v>
      </c>
      <c r="C4" s="15">
        <f>PL_MODEL!C21</f>
        <v>349.45984089530674</v>
      </c>
      <c r="D4" s="15">
        <f>PL_MODEL!D21</f>
        <v>322.14297315092796</v>
      </c>
      <c r="E4" s="15">
        <f>PL_MODEL!E21</f>
        <v>869.31993667229187</v>
      </c>
      <c r="F4" s="15">
        <f>PL_MODEL!F21</f>
        <v>2045.8729159939205</v>
      </c>
      <c r="G4" s="15">
        <f>PL_MODEL!G21</f>
        <v>2291.6258315770756</v>
      </c>
      <c r="H4" s="15">
        <f>PL_MODEL!H21</f>
        <v>2036.0725475569977</v>
      </c>
      <c r="I4" s="15">
        <f>PL_MODEL!I21</f>
        <v>1905.8391367649565</v>
      </c>
      <c r="J4" s="15">
        <f>PL_MODEL!J21</f>
        <v>1980.3158681530635</v>
      </c>
      <c r="K4" s="18">
        <f>PL_MODEL!K21</f>
        <v>2057.6324559877908</v>
      </c>
    </row>
    <row r="5" spans="1:11" ht="19" x14ac:dyDescent="0.25">
      <c r="A5" s="16" t="s">
        <v>117</v>
      </c>
      <c r="B5" s="15">
        <v>0</v>
      </c>
      <c r="C5" s="34">
        <f>BALANCE_SHEET!C10-BALANCE_SHEET!B10</f>
        <v>3843.7905443541094</v>
      </c>
      <c r="D5" s="34">
        <f>BALANCE_SHEET!D10-BALANCE_SHEET!C10</f>
        <v>3978.3232134065183</v>
      </c>
      <c r="E5" s="34">
        <f>BALANCE_SHEET!E10-BALANCE_SHEET!D10</f>
        <v>4117.5645258757577</v>
      </c>
      <c r="F5" s="34">
        <f>BALANCE_SHEET!F10-BALANCE_SHEET!E10</f>
        <v>4261.6792842814029</v>
      </c>
      <c r="G5" s="34">
        <f>BALANCE_SHEET!G10-BALANCE_SHEET!F10</f>
        <v>4410.8380592312315</v>
      </c>
      <c r="H5" s="34">
        <f>BALANCE_SHEET!H10-BALANCE_SHEET!G10</f>
        <v>4565.2173913043371</v>
      </c>
      <c r="I5" s="34">
        <f>BALANCE_SHEET!I10-BALANCE_SHEET!H10</f>
        <v>4725</v>
      </c>
      <c r="J5" s="34">
        <f>BALANCE_SHEET!J10-BALANCE_SHEET!I10</f>
        <v>4890.375</v>
      </c>
      <c r="K5" s="35">
        <f>BALANCE_SHEET!K10-BALANCE_SHEET!J10</f>
        <v>5061.5381249999919</v>
      </c>
    </row>
    <row r="6" spans="1:11" ht="19" x14ac:dyDescent="0.25">
      <c r="A6" s="16" t="s">
        <v>118</v>
      </c>
      <c r="B6" s="15">
        <v>0</v>
      </c>
      <c r="C6" s="34">
        <f>BALANCE_SHEET!C12-BALANCE_SHEET!B12</f>
        <v>213.54391913078507</v>
      </c>
      <c r="D6" s="34">
        <f>BALANCE_SHEET!D12-BALANCE_SHEET!C12</f>
        <v>221.01795630036213</v>
      </c>
      <c r="E6" s="34">
        <f>BALANCE_SHEET!E12-BALANCE_SHEET!D12</f>
        <v>228.75358477087502</v>
      </c>
      <c r="F6" s="34">
        <f>BALANCE_SHEET!F12-BALANCE_SHEET!E12</f>
        <v>236.75996023785501</v>
      </c>
      <c r="G6" s="34">
        <f>BALANCE_SHEET!G12-BALANCE_SHEET!F12</f>
        <v>245.04655884618023</v>
      </c>
      <c r="H6" s="34">
        <f>BALANCE_SHEET!H12-BALANCE_SHEET!G12</f>
        <v>253.6231884057961</v>
      </c>
      <c r="I6" s="34">
        <f>BALANCE_SHEET!I12-BALANCE_SHEET!H12</f>
        <v>262.5</v>
      </c>
      <c r="J6" s="34">
        <f>BALANCE_SHEET!J12-BALANCE_SHEET!I12</f>
        <v>271.6875</v>
      </c>
      <c r="K6" s="35">
        <f>BALANCE_SHEET!K12-BALANCE_SHEET!J12</f>
        <v>281.19656249999935</v>
      </c>
    </row>
    <row r="7" spans="1:11" ht="19" x14ac:dyDescent="0.25">
      <c r="A7" s="16" t="s">
        <v>119</v>
      </c>
      <c r="B7" s="15">
        <v>0</v>
      </c>
      <c r="C7" s="34">
        <f>-(BALANCE_SHEET!C7-BALANCE_SHEET!B7)</f>
        <v>-128.1263514784705</v>
      </c>
      <c r="D7" s="34">
        <f>-(BALANCE_SHEET!D7-BALANCE_SHEET!C7)</f>
        <v>-132.61077378021719</v>
      </c>
      <c r="E7" s="34">
        <f>-(BALANCE_SHEET!E7-BALANCE_SHEET!D7)</f>
        <v>-137.25215086252501</v>
      </c>
      <c r="F7" s="34">
        <f>-(BALANCE_SHEET!F7-BALANCE_SHEET!E7)</f>
        <v>-142.05597614271392</v>
      </c>
      <c r="G7" s="34">
        <f>-(BALANCE_SHEET!G7-BALANCE_SHEET!F7)</f>
        <v>-147.02793530770759</v>
      </c>
      <c r="H7" s="34">
        <f>-(BALANCE_SHEET!H7-BALANCE_SHEET!G7)</f>
        <v>-152.17391304347802</v>
      </c>
      <c r="I7" s="34">
        <f>-(BALANCE_SHEET!I7-BALANCE_SHEET!H7)</f>
        <v>-157.5</v>
      </c>
      <c r="J7" s="34">
        <f>-(BALANCE_SHEET!J7-BALANCE_SHEET!I7)</f>
        <v>-163.01249999999982</v>
      </c>
      <c r="K7" s="35">
        <f>-(BALANCE_SHEET!K7-BALANCE_SHEET!J7)</f>
        <v>-168.71793749999961</v>
      </c>
    </row>
    <row r="8" spans="1:11" ht="20" thickBot="1" x14ac:dyDescent="0.3">
      <c r="A8" s="31" t="s">
        <v>120</v>
      </c>
      <c r="B8" s="58">
        <v>0</v>
      </c>
      <c r="C8" s="58">
        <f>C4+C5+C6+C7</f>
        <v>4278.667952901731</v>
      </c>
      <c r="D8" s="58">
        <f t="shared" ref="D8:K8" si="0">D4+D5+D6+D7</f>
        <v>4388.8733690775916</v>
      </c>
      <c r="E8" s="58">
        <f t="shared" si="0"/>
        <v>5078.3858964563997</v>
      </c>
      <c r="F8" s="58">
        <f t="shared" si="0"/>
        <v>6402.2561843704643</v>
      </c>
      <c r="G8" s="58">
        <f t="shared" si="0"/>
        <v>6800.4825143467797</v>
      </c>
      <c r="H8" s="58">
        <f t="shared" si="0"/>
        <v>6702.7392142236531</v>
      </c>
      <c r="I8" s="58">
        <f t="shared" si="0"/>
        <v>6735.8391367649565</v>
      </c>
      <c r="J8" s="58">
        <f t="shared" si="0"/>
        <v>6979.3658681530642</v>
      </c>
      <c r="K8" s="59">
        <f t="shared" si="0"/>
        <v>7231.6492059877819</v>
      </c>
    </row>
    <row r="9" spans="1:11" ht="19" x14ac:dyDescent="0.25">
      <c r="A9" s="24" t="s">
        <v>121</v>
      </c>
      <c r="B9" s="29"/>
      <c r="C9" s="36"/>
      <c r="D9" s="36"/>
      <c r="E9" s="36"/>
      <c r="F9" s="36"/>
      <c r="G9" s="36"/>
      <c r="H9" s="36"/>
      <c r="I9" s="36"/>
      <c r="J9" s="36"/>
      <c r="K9" s="37"/>
    </row>
    <row r="10" spans="1:11" ht="19" x14ac:dyDescent="0.25">
      <c r="A10" s="16" t="s">
        <v>122</v>
      </c>
      <c r="B10" s="15">
        <v>0</v>
      </c>
      <c r="C10" s="34">
        <f>-(BALANCE_SHEET!C5-BALANCE_SHEET!B5)</f>
        <v>-4270.8783826156869</v>
      </c>
      <c r="D10" s="34">
        <f>-(BALANCE_SHEET!D5-BALANCE_SHEET!C5)</f>
        <v>-4420.3591260072426</v>
      </c>
      <c r="E10" s="34">
        <f>-(BALANCE_SHEET!E5-BALANCE_SHEET!D5)</f>
        <v>-4575.0716954175005</v>
      </c>
      <c r="F10" s="34">
        <f>-(BALANCE_SHEET!F5-BALANCE_SHEET!E5)</f>
        <v>-4735.1992047571111</v>
      </c>
      <c r="G10" s="34">
        <f>-(BALANCE_SHEET!G5-BALANCE_SHEET!F5)</f>
        <v>-4900.9311769235937</v>
      </c>
      <c r="H10" s="34">
        <f>-(BALANCE_SHEET!H5-BALANCE_SHEET!G5)</f>
        <v>-5072.4637681159365</v>
      </c>
      <c r="I10" s="34">
        <f>-(BALANCE_SHEET!I5-BALANCE_SHEET!H5)</f>
        <v>-5250</v>
      </c>
      <c r="J10" s="34">
        <f>-(BALANCE_SHEET!J5-BALANCE_SHEET!I5)</f>
        <v>-5433.75</v>
      </c>
      <c r="K10" s="35">
        <f>-(BALANCE_SHEET!K5-BALANCE_SHEET!J5)</f>
        <v>-5623.9312499999942</v>
      </c>
    </row>
    <row r="11" spans="1:11" ht="19" x14ac:dyDescent="0.25">
      <c r="A11" s="16" t="s">
        <v>123</v>
      </c>
      <c r="B11" s="15">
        <v>0</v>
      </c>
      <c r="C11" s="34">
        <f>-(BALANCE_SHEET!C6-BALANCE_SHEET!B6)</f>
        <v>-128.1263514784705</v>
      </c>
      <c r="D11" s="34">
        <f>-(BALANCE_SHEET!D6-BALANCE_SHEET!C6)</f>
        <v>-132.61077378021719</v>
      </c>
      <c r="E11" s="34">
        <f>-(BALANCE_SHEET!E6-BALANCE_SHEET!D6)</f>
        <v>-137.25215086252501</v>
      </c>
      <c r="F11" s="34">
        <f>-(BALANCE_SHEET!F6-BALANCE_SHEET!E6)</f>
        <v>-142.05597614271392</v>
      </c>
      <c r="G11" s="34">
        <f>-(BALANCE_SHEET!G6-BALANCE_SHEET!F6)</f>
        <v>-147.02793530770759</v>
      </c>
      <c r="H11" s="34">
        <f>-(BALANCE_SHEET!H6-BALANCE_SHEET!G6)</f>
        <v>-152.17391304347802</v>
      </c>
      <c r="I11" s="34">
        <f>-(BALANCE_SHEET!I6-BALANCE_SHEET!H6)</f>
        <v>-157.5</v>
      </c>
      <c r="J11" s="34">
        <f>-(BALANCE_SHEET!J6-BALANCE_SHEET!I6)</f>
        <v>-163.01249999999982</v>
      </c>
      <c r="K11" s="35">
        <f>-(BALANCE_SHEET!K6-BALANCE_SHEET!J6)</f>
        <v>-168.71793749999961</v>
      </c>
    </row>
    <row r="12" spans="1:11" ht="20" thickBot="1" x14ac:dyDescent="0.3">
      <c r="A12" s="31" t="s">
        <v>124</v>
      </c>
      <c r="B12" s="58">
        <v>0</v>
      </c>
      <c r="C12" s="60">
        <f>C10+C11</f>
        <v>-4399.0047340941574</v>
      </c>
      <c r="D12" s="60">
        <f t="shared" ref="D12:K12" si="1">D10+D11</f>
        <v>-4552.9698997874602</v>
      </c>
      <c r="E12" s="60">
        <f t="shared" si="1"/>
        <v>-4712.3238462800255</v>
      </c>
      <c r="F12" s="60">
        <f t="shared" si="1"/>
        <v>-4877.2551808998251</v>
      </c>
      <c r="G12" s="60">
        <f t="shared" si="1"/>
        <v>-5047.9591122313013</v>
      </c>
      <c r="H12" s="60">
        <f t="shared" si="1"/>
        <v>-5224.6376811594146</v>
      </c>
      <c r="I12" s="60">
        <f t="shared" si="1"/>
        <v>-5407.5</v>
      </c>
      <c r="J12" s="60">
        <f t="shared" si="1"/>
        <v>-5596.7624999999998</v>
      </c>
      <c r="K12" s="61">
        <f t="shared" si="1"/>
        <v>-5792.6491874999938</v>
      </c>
    </row>
    <row r="13" spans="1:11" ht="19" x14ac:dyDescent="0.25">
      <c r="A13" s="24" t="s">
        <v>125</v>
      </c>
      <c r="B13" s="29"/>
      <c r="C13" s="36"/>
      <c r="D13" s="36"/>
      <c r="E13" s="36"/>
      <c r="F13" s="36"/>
      <c r="G13" s="36"/>
      <c r="H13" s="36"/>
      <c r="I13" s="36"/>
      <c r="J13" s="36"/>
      <c r="K13" s="37"/>
    </row>
    <row r="14" spans="1:11" ht="19" x14ac:dyDescent="0.25">
      <c r="A14" s="16" t="s">
        <v>126</v>
      </c>
      <c r="B14" s="15">
        <v>0</v>
      </c>
      <c r="C14" s="34">
        <f>-PL_MODEL!C21*(1-ASSUMPTIONS!$B$18)</f>
        <v>-139.7839363581227</v>
      </c>
      <c r="D14" s="34">
        <f>-PL_MODEL!D21*(1-ASSUMPTIONS!$B$18)</f>
        <v>-128.8571892603712</v>
      </c>
      <c r="E14" s="34">
        <f>-PL_MODEL!E21*(1-ASSUMPTIONS!$B$18)</f>
        <v>-347.72797466891677</v>
      </c>
      <c r="F14" s="34">
        <f>-PL_MODEL!F21*(1-ASSUMPTIONS!$B$18)</f>
        <v>-818.3491663975683</v>
      </c>
      <c r="G14" s="34">
        <f>-PL_MODEL!G21*(1-ASSUMPTIONS!$B$18)</f>
        <v>-916.65033263083023</v>
      </c>
      <c r="H14" s="34">
        <f>-PL_MODEL!H21*(1-ASSUMPTIONS!$B$18)</f>
        <v>-814.42901902279914</v>
      </c>
      <c r="I14" s="34">
        <f>-PL_MODEL!I21*(1-ASSUMPTIONS!$B$18)</f>
        <v>-762.33565470598262</v>
      </c>
      <c r="J14" s="34">
        <f>-PL_MODEL!J21*(1-ASSUMPTIONS!$B$18)</f>
        <v>-792.12634726122542</v>
      </c>
      <c r="K14" s="35">
        <f>-PL_MODEL!K21*(1-ASSUMPTIONS!$B$18)</f>
        <v>-823.05298239511637</v>
      </c>
    </row>
    <row r="15" spans="1:11" ht="19" x14ac:dyDescent="0.25">
      <c r="A15" s="16" t="s">
        <v>127</v>
      </c>
      <c r="B15" s="15">
        <v>0</v>
      </c>
      <c r="C15" s="34">
        <f>BALANCE_SHEET!C11-BALANCE_SHEET!B11</f>
        <v>691.88229798373868</v>
      </c>
      <c r="D15" s="34">
        <f>BALANCE_SHEET!D11-BALANCE_SHEET!C11</f>
        <v>716.09817841317636</v>
      </c>
      <c r="E15" s="34">
        <f>BALANCE_SHEET!E11-BALANCE_SHEET!D11</f>
        <v>741.16161465763435</v>
      </c>
      <c r="F15" s="34">
        <f>BALANCE_SHEET!F11-BALANCE_SHEET!E11</f>
        <v>767.10227117065369</v>
      </c>
      <c r="G15" s="34">
        <f>BALANCE_SHEET!G11-BALANCE_SHEET!F11</f>
        <v>793.9508506616221</v>
      </c>
      <c r="H15" s="34">
        <f>BALANCE_SHEET!H11-BALANCE_SHEET!G11</f>
        <v>821.73913043478024</v>
      </c>
      <c r="I15" s="34">
        <f>BALANCE_SHEET!I11-BALANCE_SHEET!H11</f>
        <v>850.5</v>
      </c>
      <c r="J15" s="34">
        <f>BALANCE_SHEET!J11-BALANCE_SHEET!I11</f>
        <v>880.26749999999811</v>
      </c>
      <c r="K15" s="35">
        <f>BALANCE_SHEET!K11-BALANCE_SHEET!J11</f>
        <v>911.07686249999824</v>
      </c>
    </row>
    <row r="16" spans="1:11" ht="19" x14ac:dyDescent="0.25">
      <c r="A16" s="16" t="s">
        <v>128</v>
      </c>
      <c r="B16" s="15">
        <v>0</v>
      </c>
      <c r="C16" s="34">
        <f>BALANCE_SHEET!C15-BALANCE_SHEET!B15</f>
        <v>0</v>
      </c>
      <c r="D16" s="34">
        <f>BALANCE_SHEET!D15-BALANCE_SHEET!C15</f>
        <v>0</v>
      </c>
      <c r="E16" s="34">
        <f>BALANCE_SHEET!E15-BALANCE_SHEET!D15</f>
        <v>0</v>
      </c>
      <c r="F16" s="34">
        <f>BALANCE_SHEET!F15-BALANCE_SHEET!E15</f>
        <v>0</v>
      </c>
      <c r="G16" s="34">
        <f>BALANCE_SHEET!G15-BALANCE_SHEET!F15</f>
        <v>0</v>
      </c>
      <c r="H16" s="34">
        <f>BALANCE_SHEET!H15-BALANCE_SHEET!G15</f>
        <v>0</v>
      </c>
      <c r="I16" s="34">
        <f>BALANCE_SHEET!I15-BALANCE_SHEET!H15</f>
        <v>0</v>
      </c>
      <c r="J16" s="34">
        <f>BALANCE_SHEET!J15-BALANCE_SHEET!I15</f>
        <v>0</v>
      </c>
      <c r="K16" s="35">
        <f>BALANCE_SHEET!K15-BALANCE_SHEET!J15</f>
        <v>0</v>
      </c>
    </row>
    <row r="17" spans="1:11" ht="20" thickBot="1" x14ac:dyDescent="0.3">
      <c r="A17" s="31" t="s">
        <v>129</v>
      </c>
      <c r="B17" s="58">
        <v>0</v>
      </c>
      <c r="C17" s="60">
        <f>C14+C15+C16</f>
        <v>552.09836162561601</v>
      </c>
      <c r="D17" s="60">
        <f t="shared" ref="D17:K17" si="2">D14+D15+D16</f>
        <v>587.24098915280513</v>
      </c>
      <c r="E17" s="60">
        <f t="shared" si="2"/>
        <v>393.43363998871757</v>
      </c>
      <c r="F17" s="60">
        <f t="shared" si="2"/>
        <v>-51.246895226914603</v>
      </c>
      <c r="G17" s="60">
        <f t="shared" si="2"/>
        <v>-122.69948196920814</v>
      </c>
      <c r="H17" s="60">
        <f t="shared" si="2"/>
        <v>7.3101114119810973</v>
      </c>
      <c r="I17" s="60">
        <f t="shared" si="2"/>
        <v>88.16434529401738</v>
      </c>
      <c r="J17" s="60">
        <f t="shared" si="2"/>
        <v>88.141152738772689</v>
      </c>
      <c r="K17" s="61">
        <f t="shared" si="2"/>
        <v>88.023880104881869</v>
      </c>
    </row>
    <row r="18" spans="1:11" ht="19" x14ac:dyDescent="0.25">
      <c r="A18" s="62" t="s">
        <v>130</v>
      </c>
      <c r="B18" s="63">
        <f>0</f>
        <v>0</v>
      </c>
      <c r="C18" s="63">
        <f>C8+C12+C17</f>
        <v>431.76158043318969</v>
      </c>
      <c r="D18" s="63">
        <f t="shared" ref="D18:K18" si="3">D8+D12+D17</f>
        <v>423.14445844293652</v>
      </c>
      <c r="E18" s="63">
        <f t="shared" si="3"/>
        <v>759.49569016509179</v>
      </c>
      <c r="F18" s="63">
        <f t="shared" si="3"/>
        <v>1473.7541082437247</v>
      </c>
      <c r="G18" s="63">
        <f t="shared" si="3"/>
        <v>1629.8239201462702</v>
      </c>
      <c r="H18" s="63">
        <f t="shared" si="3"/>
        <v>1485.4116444762196</v>
      </c>
      <c r="I18" s="63">
        <f t="shared" si="3"/>
        <v>1416.503482058974</v>
      </c>
      <c r="J18" s="63">
        <f t="shared" si="3"/>
        <v>1470.7445208918371</v>
      </c>
      <c r="K18" s="64">
        <f t="shared" si="3"/>
        <v>1527.0238985926699</v>
      </c>
    </row>
    <row r="19" spans="1:11" ht="19" x14ac:dyDescent="0.25">
      <c r="A19" s="16" t="s">
        <v>131</v>
      </c>
      <c r="B19" s="65">
        <f>BALANCE_SHEET!B4</f>
        <v>14859.972051190169</v>
      </c>
      <c r="C19" s="15">
        <f>B20</f>
        <v>14859.972051190169</v>
      </c>
      <c r="D19" s="15">
        <f t="shared" ref="D19:K19" si="4">C20</f>
        <v>15291.733631623358</v>
      </c>
      <c r="E19" s="15">
        <f t="shared" si="4"/>
        <v>15714.878090066295</v>
      </c>
      <c r="F19" s="15">
        <f t="shared" si="4"/>
        <v>16474.373780231388</v>
      </c>
      <c r="G19" s="15">
        <f t="shared" si="4"/>
        <v>17948.127888475112</v>
      </c>
      <c r="H19" s="15">
        <f t="shared" si="4"/>
        <v>19577.951808621383</v>
      </c>
      <c r="I19" s="15">
        <f t="shared" si="4"/>
        <v>21063.363453097601</v>
      </c>
      <c r="J19" s="15">
        <f t="shared" si="4"/>
        <v>22479.866935156577</v>
      </c>
      <c r="K19" s="18">
        <f t="shared" si="4"/>
        <v>23950.611456048413</v>
      </c>
    </row>
    <row r="20" spans="1:11" ht="19" x14ac:dyDescent="0.25">
      <c r="A20" s="66" t="s">
        <v>132</v>
      </c>
      <c r="B20" s="67">
        <f>B18+B19</f>
        <v>14859.972051190169</v>
      </c>
      <c r="C20" s="67">
        <f>C18+C19</f>
        <v>15291.733631623358</v>
      </c>
      <c r="D20" s="67">
        <f t="shared" ref="D20:K20" si="5">D18+D19</f>
        <v>15714.878090066295</v>
      </c>
      <c r="E20" s="67">
        <f t="shared" si="5"/>
        <v>16474.373780231388</v>
      </c>
      <c r="F20" s="67">
        <f t="shared" si="5"/>
        <v>17948.127888475112</v>
      </c>
      <c r="G20" s="67">
        <f t="shared" si="5"/>
        <v>19577.951808621383</v>
      </c>
      <c r="H20" s="67">
        <f t="shared" si="5"/>
        <v>21063.363453097601</v>
      </c>
      <c r="I20" s="67">
        <f t="shared" si="5"/>
        <v>22479.866935156577</v>
      </c>
      <c r="J20" s="67">
        <f t="shared" si="5"/>
        <v>23950.611456048413</v>
      </c>
      <c r="K20" s="68">
        <f t="shared" si="5"/>
        <v>25477.635354641083</v>
      </c>
    </row>
    <row r="21" spans="1:11" ht="19" x14ac:dyDescent="0.25">
      <c r="A21" s="69" t="s">
        <v>100</v>
      </c>
      <c r="B21" s="70"/>
      <c r="C21" s="70"/>
      <c r="D21" s="70"/>
      <c r="E21" s="70"/>
      <c r="F21" s="70"/>
      <c r="G21" s="70"/>
      <c r="H21" s="70"/>
      <c r="I21" s="70"/>
      <c r="J21" s="70"/>
      <c r="K21" s="71"/>
    </row>
    <row r="22" spans="1:11" ht="20" thickBot="1" x14ac:dyDescent="0.3">
      <c r="A22" s="72" t="s">
        <v>133</v>
      </c>
      <c r="B22" s="73">
        <f>B20-BALANCE_SHEET!B4</f>
        <v>0</v>
      </c>
      <c r="C22" s="73">
        <f>C20-BALANCE_SHEET!C4</f>
        <v>0</v>
      </c>
      <c r="D22" s="73">
        <f>D20-BALANCE_SHEET!D4</f>
        <v>0</v>
      </c>
      <c r="E22" s="73">
        <f>E20-BALANCE_SHEET!E4</f>
        <v>0</v>
      </c>
      <c r="F22" s="73">
        <f>F20-BALANCE_SHEET!F4</f>
        <v>0</v>
      </c>
      <c r="G22" s="73">
        <f>G20-BALANCE_SHEET!G4</f>
        <v>0</v>
      </c>
      <c r="H22" s="73">
        <f>H20-BALANCE_SHEET!H4</f>
        <v>0</v>
      </c>
      <c r="I22" s="73">
        <f>I20-BALANCE_SHEET!I4</f>
        <v>0</v>
      </c>
      <c r="J22" s="73">
        <f>J20-BALANCE_SHEET!J4</f>
        <v>5.8207660913467407E-11</v>
      </c>
      <c r="K22" s="74">
        <f>K20-BALANCE_SHEET!K4</f>
        <v>0</v>
      </c>
    </row>
    <row r="23" spans="1:11" x14ac:dyDescent="0.2">
      <c r="K23" s="9"/>
    </row>
  </sheetData>
  <mergeCells count="1">
    <mergeCell ref="A1:K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C5B-BCFE-BD45-AD6B-2B16888FD86D}">
  <sheetPr>
    <tabColor theme="5"/>
  </sheetPr>
  <dimension ref="A1:F30"/>
  <sheetViews>
    <sheetView showGridLines="0" zoomScale="110" zoomScaleNormal="110" workbookViewId="0">
      <selection activeCell="D24" sqref="D24"/>
    </sheetView>
  </sheetViews>
  <sheetFormatPr baseColWidth="10" defaultRowHeight="16" x14ac:dyDescent="0.2"/>
  <cols>
    <col min="1" max="1" width="33.33203125" customWidth="1"/>
    <col min="2" max="2" width="25.83203125" customWidth="1"/>
    <col min="3" max="4" width="22.83203125" customWidth="1"/>
    <col min="5" max="5" width="16.33203125" customWidth="1"/>
    <col min="6" max="6" width="15.6640625" customWidth="1"/>
  </cols>
  <sheetData>
    <row r="1" spans="1:6" ht="19" x14ac:dyDescent="0.25">
      <c r="A1" s="195" t="s">
        <v>291</v>
      </c>
      <c r="B1" s="195"/>
      <c r="C1" s="195"/>
      <c r="D1" s="195"/>
      <c r="E1" s="195"/>
      <c r="F1" s="195"/>
    </row>
    <row r="2" spans="1:6" x14ac:dyDescent="0.2">
      <c r="A2" s="98" t="s">
        <v>292</v>
      </c>
    </row>
    <row r="3" spans="1:6" ht="19" x14ac:dyDescent="0.25">
      <c r="A3" s="80" t="s">
        <v>135</v>
      </c>
      <c r="B3" s="93" t="s">
        <v>293</v>
      </c>
      <c r="C3" s="93" t="s">
        <v>294</v>
      </c>
      <c r="D3" s="93" t="s">
        <v>295</v>
      </c>
      <c r="E3" s="93" t="s">
        <v>296</v>
      </c>
      <c r="F3" s="93" t="s">
        <v>297</v>
      </c>
    </row>
    <row r="4" spans="1:6" ht="19" x14ac:dyDescent="0.25">
      <c r="A4" s="81" t="s">
        <v>53</v>
      </c>
      <c r="B4" s="15">
        <f>PL_MODEL!F4</f>
        <v>8909.6478330882892</v>
      </c>
      <c r="C4" s="15">
        <f>PL_MODEL!G4</f>
        <v>9864.6135265700468</v>
      </c>
      <c r="D4" s="82">
        <f>C4-B4</f>
        <v>954.96569348175763</v>
      </c>
      <c r="E4" s="83">
        <f>IFERROR((C4-B4)/ABS(B4),0)</f>
        <v>0.10718332658842528</v>
      </c>
      <c r="F4" s="84" t="str">
        <f>IF(ABS(E4)&gt;0.05,IF(D4&lt;0,"ADVERSE","FAVOURABLE"),"OK")</f>
        <v>FAVOURABLE</v>
      </c>
    </row>
    <row r="5" spans="1:6" ht="19" x14ac:dyDescent="0.25">
      <c r="A5" s="81" t="s">
        <v>54</v>
      </c>
      <c r="B5" s="15">
        <f>PL_MODEL!F5</f>
        <v>4521.2885948330195</v>
      </c>
      <c r="C5" s="15">
        <f>PL_MODEL!G5</f>
        <v>5110.5543478260879</v>
      </c>
      <c r="D5" s="82">
        <f t="shared" ref="D5:D20" si="0">C5-B5</f>
        <v>589.26575299306842</v>
      </c>
      <c r="E5" s="83">
        <f t="shared" ref="E5:E20" si="1">IFERROR((C5-B5)/ABS(B5),0)</f>
        <v>0.13033137359700686</v>
      </c>
      <c r="F5" s="84" t="str">
        <f t="shared" ref="F5:F20" si="2">IF(ABS(E5)&gt;0.05,IF(D5&lt;0,"ADVERSE","FAVOURABLE"),"OK")</f>
        <v>FAVOURABLE</v>
      </c>
    </row>
    <row r="6" spans="1:6" ht="19" x14ac:dyDescent="0.25">
      <c r="A6" s="86" t="s">
        <v>55</v>
      </c>
      <c r="B6" s="87">
        <f>PL_MODEL!F6</f>
        <v>4388.3592382552697</v>
      </c>
      <c r="C6" s="87">
        <f>PL_MODEL!G6</f>
        <v>4754.0591787439589</v>
      </c>
      <c r="D6" s="88">
        <f t="shared" si="0"/>
        <v>365.69994048868921</v>
      </c>
      <c r="E6" s="89">
        <f t="shared" si="1"/>
        <v>8.3334093822748367E-2</v>
      </c>
      <c r="F6" s="90" t="str">
        <f t="shared" si="2"/>
        <v>FAVOURABLE</v>
      </c>
    </row>
    <row r="7" spans="1:6" ht="19" x14ac:dyDescent="0.25">
      <c r="A7" s="81" t="s">
        <v>56</v>
      </c>
      <c r="B7" s="15">
        <f>PL_MODEL!F7</f>
        <v>576.90961282643707</v>
      </c>
      <c r="C7" s="15">
        <f>PL_MODEL!G7</f>
        <v>597.10144927536237</v>
      </c>
      <c r="D7" s="82">
        <f t="shared" si="0"/>
        <v>20.191836448925301</v>
      </c>
      <c r="E7" s="83">
        <f t="shared" si="1"/>
        <v>3.5000000000000003E-2</v>
      </c>
      <c r="F7" s="84" t="str">
        <f t="shared" si="2"/>
        <v>OK</v>
      </c>
    </row>
    <row r="8" spans="1:6" ht="19" x14ac:dyDescent="0.25">
      <c r="A8" s="81" t="s">
        <v>57</v>
      </c>
      <c r="B8" s="15">
        <f>PL_MODEL!F8</f>
        <v>219.4179619127635</v>
      </c>
      <c r="C8" s="15">
        <f>PL_MODEL!G8</f>
        <v>237.70295893719796</v>
      </c>
      <c r="D8" s="82">
        <f>C8-B8</f>
        <v>18.28499702443446</v>
      </c>
      <c r="E8" s="83">
        <f t="shared" si="1"/>
        <v>8.3334093822748367E-2</v>
      </c>
      <c r="F8" s="85" t="str">
        <f t="shared" si="2"/>
        <v>FAVOURABLE</v>
      </c>
    </row>
    <row r="9" spans="1:6" ht="19" x14ac:dyDescent="0.25">
      <c r="A9" s="91" t="s">
        <v>58</v>
      </c>
      <c r="B9" s="87">
        <f>PL_MODEL!F9</f>
        <v>796.3275747392006</v>
      </c>
      <c r="C9" s="87">
        <f>PL_MODEL!G9</f>
        <v>834.80440821256036</v>
      </c>
      <c r="D9" s="88">
        <f t="shared" si="0"/>
        <v>38.476833473359761</v>
      </c>
      <c r="E9" s="89">
        <f t="shared" si="1"/>
        <v>4.8317846441473571E-2</v>
      </c>
      <c r="F9" s="92" t="str">
        <f t="shared" si="2"/>
        <v>OK</v>
      </c>
    </row>
    <row r="10" spans="1:6" ht="19" x14ac:dyDescent="0.25">
      <c r="A10" s="86" t="s">
        <v>59</v>
      </c>
      <c r="B10" s="87">
        <f>PL_MODEL!F10</f>
        <v>5184.6868129944705</v>
      </c>
      <c r="C10" s="87">
        <f>PL_MODEL!G10</f>
        <v>5588.8635869565196</v>
      </c>
      <c r="D10" s="88">
        <f>C10-B10</f>
        <v>404.17677396204908</v>
      </c>
      <c r="E10" s="89">
        <f t="shared" si="1"/>
        <v>7.7955870535719507E-2</v>
      </c>
      <c r="F10" s="90" t="str">
        <f t="shared" si="2"/>
        <v>FAVOURABLE</v>
      </c>
    </row>
    <row r="11" spans="1:6" ht="19" x14ac:dyDescent="0.25">
      <c r="A11" s="81" t="s">
        <v>61</v>
      </c>
      <c r="B11" s="15">
        <f>PL_MODEL!F12</f>
        <v>1106.4374055677063</v>
      </c>
      <c r="C11" s="15">
        <f>PL_MODEL!G12</f>
        <v>1139.6305277347374</v>
      </c>
      <c r="D11" s="82">
        <f t="shared" si="0"/>
        <v>33.193122167031106</v>
      </c>
      <c r="E11" s="83">
        <f t="shared" si="1"/>
        <v>2.9999999999999926E-2</v>
      </c>
      <c r="F11" s="85" t="str">
        <f t="shared" si="2"/>
        <v>OK</v>
      </c>
    </row>
    <row r="12" spans="1:6" ht="19" x14ac:dyDescent="0.25">
      <c r="A12" s="81" t="s">
        <v>62</v>
      </c>
      <c r="B12" s="15">
        <f>PL_MODEL!F13</f>
        <v>379.34996762321356</v>
      </c>
      <c r="C12" s="15">
        <f>PL_MODEL!G13</f>
        <v>390.73046665190998</v>
      </c>
      <c r="D12" s="82">
        <f t="shared" si="0"/>
        <v>11.38049902869642</v>
      </c>
      <c r="E12" s="83">
        <f t="shared" si="1"/>
        <v>3.0000000000000034E-2</v>
      </c>
      <c r="F12" s="85" t="str">
        <f t="shared" si="2"/>
        <v>OK</v>
      </c>
    </row>
    <row r="13" spans="1:6" ht="19" x14ac:dyDescent="0.25">
      <c r="A13" s="81" t="s">
        <v>63</v>
      </c>
      <c r="B13" s="15">
        <f>PL_MODEL!F14</f>
        <v>252.89997841547574</v>
      </c>
      <c r="C13" s="15">
        <f>PL_MODEL!G14</f>
        <v>260.48697776794</v>
      </c>
      <c r="D13" s="82">
        <f t="shared" si="0"/>
        <v>7.5869993524642609</v>
      </c>
      <c r="E13" s="83">
        <f t="shared" si="1"/>
        <v>2.9999999999999954E-2</v>
      </c>
      <c r="F13" s="85" t="str">
        <f t="shared" si="2"/>
        <v>OK</v>
      </c>
    </row>
    <row r="14" spans="1:6" ht="19" x14ac:dyDescent="0.25">
      <c r="A14" s="81" t="s">
        <v>64</v>
      </c>
      <c r="B14" s="15">
        <f>PL_MODEL!F15</f>
        <v>158.06248650967234</v>
      </c>
      <c r="C14" s="15">
        <f>PL_MODEL!G15</f>
        <v>162.80436110496251</v>
      </c>
      <c r="D14" s="82">
        <f t="shared" si="0"/>
        <v>4.7418745952901702</v>
      </c>
      <c r="E14" s="83">
        <f t="shared" si="1"/>
        <v>0.03</v>
      </c>
      <c r="F14" s="85" t="str">
        <f t="shared" si="2"/>
        <v>OK</v>
      </c>
    </row>
    <row r="15" spans="1:6" ht="19" x14ac:dyDescent="0.25">
      <c r="A15" s="86" t="s">
        <v>65</v>
      </c>
      <c r="B15" s="87">
        <f>PL_MODEL!F16</f>
        <v>1896.7498381160681</v>
      </c>
      <c r="C15" s="87">
        <f>PL_MODEL!G16</f>
        <v>1953.6523332595498</v>
      </c>
      <c r="D15" s="88">
        <f t="shared" si="0"/>
        <v>56.902495143481701</v>
      </c>
      <c r="E15" s="89">
        <f t="shared" si="1"/>
        <v>2.9999999999999818E-2</v>
      </c>
      <c r="F15" s="90" t="str">
        <f t="shared" si="2"/>
        <v>OK</v>
      </c>
    </row>
    <row r="16" spans="1:6" ht="19" x14ac:dyDescent="0.25">
      <c r="A16" s="86" t="s">
        <v>66</v>
      </c>
      <c r="B16" s="87">
        <f>PL_MODEL!F17</f>
        <v>3287.9369748784025</v>
      </c>
      <c r="C16" s="87">
        <f>PL_MODEL!G17</f>
        <v>3635.2112536969698</v>
      </c>
      <c r="D16" s="88">
        <f t="shared" si="0"/>
        <v>347.27427881856738</v>
      </c>
      <c r="E16" s="89">
        <f t="shared" si="1"/>
        <v>0.10562072249922327</v>
      </c>
      <c r="F16" s="90" t="str">
        <f t="shared" si="2"/>
        <v>FAVOURABLE</v>
      </c>
    </row>
    <row r="17" spans="1:6" ht="19" x14ac:dyDescent="0.25">
      <c r="A17" s="81" t="s">
        <v>67</v>
      </c>
      <c r="B17" s="15">
        <f>PL_MODEL!F18</f>
        <v>560.10642021984188</v>
      </c>
      <c r="C17" s="15">
        <f>PL_MODEL!G18</f>
        <v>579.71014492753625</v>
      </c>
      <c r="D17" s="82">
        <f t="shared" si="0"/>
        <v>19.603724707694369</v>
      </c>
      <c r="E17" s="83">
        <f t="shared" si="1"/>
        <v>3.499999999999983E-2</v>
      </c>
      <c r="F17" s="85" t="str">
        <f>IF(ABS(E17)&gt;0.05,IF(D17&lt;0,"ADVERSE","FAVOURABLE"),"OK")</f>
        <v>OK</v>
      </c>
    </row>
    <row r="18" spans="1:6" ht="19" x14ac:dyDescent="0.25">
      <c r="A18" s="86" t="s">
        <v>68</v>
      </c>
      <c r="B18" s="87">
        <f>PL_MODEL!F19</f>
        <v>2727.8305546585607</v>
      </c>
      <c r="C18" s="87">
        <f>PL_MODEL!G19</f>
        <v>3055.5011087694338</v>
      </c>
      <c r="D18" s="88">
        <f t="shared" si="0"/>
        <v>327.67055411087313</v>
      </c>
      <c r="E18" s="89">
        <f t="shared" si="1"/>
        <v>0.12012130062524623</v>
      </c>
      <c r="F18" s="90" t="str">
        <f t="shared" si="2"/>
        <v>FAVOURABLE</v>
      </c>
    </row>
    <row r="19" spans="1:6" ht="19" x14ac:dyDescent="0.25">
      <c r="A19" s="81" t="s">
        <v>69</v>
      </c>
      <c r="B19" s="15">
        <f>PL_MODEL!F20</f>
        <v>681.95763866464017</v>
      </c>
      <c r="C19" s="15">
        <f>PL_MODEL!G20</f>
        <v>763.87527719235845</v>
      </c>
      <c r="D19" s="82">
        <f t="shared" si="0"/>
        <v>81.917638527718282</v>
      </c>
      <c r="E19" s="83">
        <f t="shared" si="1"/>
        <v>0.12012130062524623</v>
      </c>
      <c r="F19" s="85" t="str">
        <f t="shared" si="2"/>
        <v>FAVOURABLE</v>
      </c>
    </row>
    <row r="20" spans="1:6" ht="19" x14ac:dyDescent="0.25">
      <c r="A20" s="86" t="s">
        <v>70</v>
      </c>
      <c r="B20" s="87">
        <f>PL_MODEL!F21</f>
        <v>2045.8729159939205</v>
      </c>
      <c r="C20" s="87">
        <f>PL_MODEL!G21</f>
        <v>2291.6258315770756</v>
      </c>
      <c r="D20" s="88">
        <f t="shared" si="0"/>
        <v>245.75291558315507</v>
      </c>
      <c r="E20" s="89">
        <f t="shared" si="1"/>
        <v>0.12012130062524634</v>
      </c>
      <c r="F20" s="90" t="str">
        <f t="shared" si="2"/>
        <v>FAVOURABLE</v>
      </c>
    </row>
    <row r="22" spans="1:6" ht="19" x14ac:dyDescent="0.25">
      <c r="A22" s="196" t="s">
        <v>136</v>
      </c>
      <c r="B22" s="196"/>
    </row>
    <row r="23" spans="1:6" ht="19" x14ac:dyDescent="0.25">
      <c r="A23" s="94" t="s">
        <v>137</v>
      </c>
      <c r="B23" s="95">
        <f>COUNTA(F4:F20)</f>
        <v>17</v>
      </c>
    </row>
    <row r="24" spans="1:6" ht="19" x14ac:dyDescent="0.25">
      <c r="A24" s="94" t="s">
        <v>138</v>
      </c>
      <c r="B24" s="95">
        <f>COUNTIF(F4:F20,"OK")</f>
        <v>8</v>
      </c>
    </row>
    <row r="25" spans="1:6" ht="19" x14ac:dyDescent="0.25">
      <c r="A25" s="94" t="s">
        <v>139</v>
      </c>
      <c r="B25" s="95">
        <f>COUNTIF(F4:F20,"ADVERSE")</f>
        <v>0</v>
      </c>
    </row>
    <row r="26" spans="1:6" ht="19" x14ac:dyDescent="0.25">
      <c r="A26" s="94" t="s">
        <v>140</v>
      </c>
      <c r="B26" s="95">
        <f>COUNTIF(F4:F20,"FAVOURABLE")</f>
        <v>9</v>
      </c>
    </row>
    <row r="27" spans="1:6" ht="19" x14ac:dyDescent="0.25">
      <c r="A27" s="94" t="s">
        <v>141</v>
      </c>
      <c r="B27" s="96">
        <f>E20</f>
        <v>0.12012130062524634</v>
      </c>
    </row>
    <row r="28" spans="1:6" ht="19" x14ac:dyDescent="0.25">
      <c r="A28" s="94" t="s">
        <v>142</v>
      </c>
      <c r="B28" s="97">
        <f>MIN(D4:D20)</f>
        <v>4.7418745952901702</v>
      </c>
    </row>
    <row r="29" spans="1:6" ht="19" x14ac:dyDescent="0.25">
      <c r="A29" s="94" t="s">
        <v>143</v>
      </c>
      <c r="B29" s="97">
        <f>MAX(D4:D20)</f>
        <v>954.96569348175763</v>
      </c>
    </row>
    <row r="30" spans="1:6" ht="19" x14ac:dyDescent="0.25">
      <c r="A30" s="94" t="s">
        <v>144</v>
      </c>
      <c r="B30" s="95" t="str">
        <f>INDEX(A4:A20,MATCH(MIN(D4:D20),D4:D20,0))</f>
        <v>Other Operating Costs</v>
      </c>
    </row>
  </sheetData>
  <mergeCells count="2">
    <mergeCell ref="A1:F1"/>
    <mergeCell ref="A22:B22"/>
  </mergeCells>
  <conditionalFormatting sqref="D4:E20">
    <cfRule type="cellIs" dxfId="3" priority="1" operator="lessThan">
      <formula>0</formula>
    </cfRule>
  </conditionalFormatting>
  <conditionalFormatting sqref="F4:F20">
    <cfRule type="containsText" dxfId="2" priority="3" operator="containsText" text="OK">
      <formula>NOT(ISERROR(SEARCH("OK",F4)))</formula>
    </cfRule>
    <cfRule type="containsText" dxfId="1" priority="4" operator="containsText" text="FAVOURABLE">
      <formula>NOT(ISERROR(SEARCH("FAVOURABLE",F4)))</formula>
    </cfRule>
    <cfRule type="containsText" dxfId="0" priority="5" operator="containsText" text="ADVERSE">
      <formula>NOT(ISERROR(SEARCH("ADVERSE",F4)))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A825-70F3-A84F-940F-228161A88320}">
  <sheetPr>
    <tabColor rgb="FF7030A0"/>
    <outlinePr summaryBelow="0"/>
  </sheetPr>
  <dimension ref="A1:H24"/>
  <sheetViews>
    <sheetView showGridLines="0" workbookViewId="0">
      <selection activeCell="A22" sqref="A22"/>
    </sheetView>
  </sheetViews>
  <sheetFormatPr baseColWidth="10" defaultRowHeight="16" outlineLevelRow="1" outlineLevelCol="1" x14ac:dyDescent="0.2"/>
  <cols>
    <col min="1" max="1" width="53.33203125" customWidth="1"/>
    <col min="3" max="3" width="7.1640625" bestFit="1" customWidth="1"/>
    <col min="4" max="8" width="25.83203125" bestFit="1" customWidth="1" outlineLevel="1"/>
  </cols>
  <sheetData>
    <row r="1" spans="1:5" ht="21" x14ac:dyDescent="0.25">
      <c r="A1" s="180" t="s">
        <v>385</v>
      </c>
    </row>
    <row r="2" spans="1:5" x14ac:dyDescent="0.2">
      <c r="A2" s="181" t="s">
        <v>386</v>
      </c>
    </row>
    <row r="3" spans="1:5" collapsed="1" x14ac:dyDescent="0.2"/>
    <row r="4" spans="1:5" hidden="1" outlineLevel="1" x14ac:dyDescent="0.2">
      <c r="A4" s="198" t="s">
        <v>387</v>
      </c>
      <c r="B4" s="199" t="s">
        <v>226</v>
      </c>
      <c r="C4" s="199" t="s">
        <v>225</v>
      </c>
      <c r="D4" s="199" t="s">
        <v>228</v>
      </c>
      <c r="E4" s="199" t="s">
        <v>229</v>
      </c>
    </row>
    <row r="5" spans="1:5" x14ac:dyDescent="0.2">
      <c r="A5" s="10" t="s">
        <v>388</v>
      </c>
      <c r="B5" s="105">
        <f>ASSUMPTIONS!$A$35</f>
        <v>1.4999999999999999E-2</v>
      </c>
      <c r="C5" s="105">
        <f>ASSUMPTIONS!$A$37</f>
        <v>1.7000000000000001E-2</v>
      </c>
      <c r="D5" s="105">
        <f>ASSUMPTIONS!$A$33</f>
        <v>1.2999999999999999E-2</v>
      </c>
      <c r="E5" s="105">
        <f>ASSUMPTIONS!$A$32</f>
        <v>1.2E-2</v>
      </c>
    </row>
    <row r="6" spans="1:5" outlineLevel="1" x14ac:dyDescent="0.2">
      <c r="A6" s="10" t="s">
        <v>389</v>
      </c>
      <c r="B6" s="200">
        <f>ASSUMPTIONS!$E$31</f>
        <v>0.65</v>
      </c>
      <c r="C6" s="200">
        <f>ASSUMPTIONS!$C$31</f>
        <v>0.55000000000000004</v>
      </c>
      <c r="D6" s="200">
        <f>ASSUMPTIONS!$F$31</f>
        <v>0.7</v>
      </c>
      <c r="E6" s="200">
        <f>ASSUMPTIONS!$H$31</f>
        <v>0.8</v>
      </c>
    </row>
    <row r="7" spans="1:5" outlineLevel="1" x14ac:dyDescent="0.2">
      <c r="A7" s="136" t="s">
        <v>390</v>
      </c>
      <c r="B7" s="201">
        <f>ASSUMPTIONS!$E$35</f>
        <v>2057.6324559877912</v>
      </c>
      <c r="C7" s="202">
        <f>ASSUMPTIONS!$C$37</f>
        <v>2634.1103719711455</v>
      </c>
      <c r="D7" s="202">
        <f>ASSUMPTIONS!$F$33</f>
        <v>1711.9831761120906</v>
      </c>
      <c r="E7" s="202">
        <f>ASSUMPTIONS!$H$32</f>
        <v>1192.9155820127589</v>
      </c>
    </row>
    <row r="8" spans="1:5" outlineLevel="1" x14ac:dyDescent="0.2">
      <c r="A8" s="10" t="s">
        <v>391</v>
      </c>
      <c r="B8" s="203">
        <f>B7-$B$7</f>
        <v>0</v>
      </c>
      <c r="C8" s="203">
        <f>C7-$B$7</f>
        <v>576.47791598335425</v>
      </c>
      <c r="D8" s="203">
        <f>D7-$B$7</f>
        <v>-345.64927987570059</v>
      </c>
      <c r="E8" s="203">
        <f>E7-$B$7</f>
        <v>-864.71687397503229</v>
      </c>
    </row>
    <row r="9" spans="1:5" outlineLevel="1" x14ac:dyDescent="0.2">
      <c r="A9" s="10" t="s">
        <v>392</v>
      </c>
      <c r="B9" s="204">
        <f>B7/$B$7-1</f>
        <v>0</v>
      </c>
      <c r="C9" s="204">
        <f>C7/$B$7-1</f>
        <v>0.2801656410044373</v>
      </c>
      <c r="D9" s="204">
        <f>D7/$B$7-1</f>
        <v>-0.16798397540330767</v>
      </c>
      <c r="E9" s="204">
        <f>E7/$B$7-1</f>
        <v>-0.42024846150665651</v>
      </c>
    </row>
    <row r="11" spans="1:5" outlineLevel="1" x14ac:dyDescent="0.2">
      <c r="A11" s="182" t="s">
        <v>393</v>
      </c>
      <c r="B11" s="183">
        <f>PL_MODEL!K21</f>
        <v>2057.6324559877908</v>
      </c>
    </row>
    <row r="12" spans="1:5" outlineLevel="1" x14ac:dyDescent="0.2">
      <c r="A12" s="182" t="s">
        <v>394</v>
      </c>
      <c r="B12" s="184">
        <f>B7-PL_MODEL!K21</f>
        <v>0</v>
      </c>
    </row>
    <row r="13" spans="1:5" outlineLevel="1" x14ac:dyDescent="0.2"/>
    <row r="14" spans="1:5" outlineLevel="1" x14ac:dyDescent="0.2"/>
    <row r="15" spans="1:5" outlineLevel="1" x14ac:dyDescent="0.2"/>
    <row r="16" spans="1:5" outlineLevel="1" x14ac:dyDescent="0.2"/>
    <row r="17" outlineLevel="1" x14ac:dyDescent="0.2"/>
    <row r="18" outlineLevel="1" x14ac:dyDescent="0.2"/>
    <row r="19" outlineLevel="1" x14ac:dyDescent="0.2"/>
    <row r="20" outlineLevel="1" x14ac:dyDescent="0.2"/>
    <row r="21" outlineLevel="1" x14ac:dyDescent="0.2"/>
    <row r="22" outlineLevel="1" x14ac:dyDescent="0.2"/>
    <row r="23" outlineLevel="1" x14ac:dyDescent="0.2"/>
    <row r="24" outlineLevel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23DB-089D-E644-8AB9-EF6F7DBE3F54}">
  <sheetPr>
    <tabColor theme="4"/>
  </sheetPr>
  <dimension ref="A1:H37"/>
  <sheetViews>
    <sheetView showGridLines="0" topLeftCell="A8" workbookViewId="0">
      <selection activeCell="D28" sqref="D28"/>
    </sheetView>
  </sheetViews>
  <sheetFormatPr baseColWidth="10" defaultRowHeight="16" x14ac:dyDescent="0.2"/>
  <cols>
    <col min="1" max="1" width="29.1640625" customWidth="1"/>
    <col min="2" max="2" width="68.5" bestFit="1" customWidth="1"/>
    <col min="3" max="3" width="16.83203125" customWidth="1"/>
    <col min="4" max="4" width="15.5" customWidth="1"/>
    <col min="5" max="5" width="12.5" customWidth="1"/>
    <col min="6" max="6" width="17.5" customWidth="1"/>
  </cols>
  <sheetData>
    <row r="1" spans="1:8" ht="19" x14ac:dyDescent="0.25">
      <c r="A1" s="185" t="s">
        <v>150</v>
      </c>
      <c r="B1" s="185"/>
      <c r="C1" s="185"/>
      <c r="D1" s="185"/>
      <c r="E1" s="185"/>
      <c r="F1" s="185"/>
      <c r="G1" s="185"/>
      <c r="H1" s="185"/>
    </row>
    <row r="3" spans="1:8" x14ac:dyDescent="0.2">
      <c r="A3" s="197" t="s">
        <v>151</v>
      </c>
      <c r="B3" s="197"/>
      <c r="C3" s="197"/>
      <c r="D3" s="197"/>
      <c r="E3" s="197"/>
      <c r="F3" s="197"/>
      <c r="G3" s="197"/>
      <c r="H3" s="197"/>
    </row>
    <row r="5" spans="1:8" ht="19" x14ac:dyDescent="0.25">
      <c r="A5" s="196" t="s">
        <v>152</v>
      </c>
      <c r="B5" s="196"/>
      <c r="C5" s="196"/>
      <c r="D5" s="196"/>
      <c r="E5" s="196"/>
      <c r="F5" s="196"/>
    </row>
    <row r="6" spans="1:8" ht="19" x14ac:dyDescent="0.25">
      <c r="A6" s="80" t="s">
        <v>153</v>
      </c>
      <c r="B6" s="80" t="s">
        <v>154</v>
      </c>
      <c r="C6" s="80" t="s">
        <v>155</v>
      </c>
      <c r="D6" s="80" t="s">
        <v>156</v>
      </c>
      <c r="E6" s="80" t="s">
        <v>157</v>
      </c>
      <c r="F6" s="80" t="s">
        <v>158</v>
      </c>
    </row>
    <row r="7" spans="1:8" x14ac:dyDescent="0.2">
      <c r="A7" s="10" t="s">
        <v>159</v>
      </c>
      <c r="B7" s="102" t="s">
        <v>163</v>
      </c>
      <c r="C7" s="103">
        <v>0</v>
      </c>
      <c r="D7" s="104">
        <f>BALANCE_SHEET!B19</f>
        <v>0</v>
      </c>
      <c r="E7" s="104">
        <f>D7-C7</f>
        <v>0</v>
      </c>
      <c r="F7" s="103" t="str">
        <f>IF(ABS(E7)&lt;1,"PASS","FAIL")</f>
        <v>PASS</v>
      </c>
    </row>
    <row r="8" spans="1:8" x14ac:dyDescent="0.2">
      <c r="A8" s="10" t="s">
        <v>160</v>
      </c>
      <c r="B8" s="102" t="s">
        <v>166</v>
      </c>
      <c r="C8" s="103">
        <v>0</v>
      </c>
      <c r="D8" s="104">
        <f>(BALANCE_SHEET!G16-BALANCE_SHEET!F16)-PL_MODEL!G21*ASSUMPTIONS!$B$18</f>
        <v>0</v>
      </c>
      <c r="E8" s="104">
        <f>D8-C8</f>
        <v>0</v>
      </c>
      <c r="F8" s="103" t="str">
        <f t="shared" ref="F8" si="0">IF(ABS(E8)&lt;1,"PASS","FAIL")</f>
        <v>PASS</v>
      </c>
    </row>
    <row r="9" spans="1:8" x14ac:dyDescent="0.2">
      <c r="A9" s="10" t="s">
        <v>161</v>
      </c>
      <c r="B9" s="102" t="s">
        <v>164</v>
      </c>
      <c r="C9" s="105">
        <f>ASSUMPTIONS!B7</f>
        <v>3.5000000000000003E-2</v>
      </c>
      <c r="D9" s="103">
        <f>(BALANCE_SHEET!G5-BALANCE_SHEET!F5)/BALANCE_SHEET!F5</f>
        <v>3.4999999999999837E-2</v>
      </c>
      <c r="E9" s="104">
        <f t="shared" ref="E9:E10" si="1">D9-C9</f>
        <v>-1.6653345369377348E-16</v>
      </c>
      <c r="F9" s="103" t="str">
        <f>IF(ABS(E9)&lt;0.001,"PASS","FAIL")</f>
        <v>PASS</v>
      </c>
    </row>
    <row r="10" spans="1:8" x14ac:dyDescent="0.2">
      <c r="A10" s="10" t="s">
        <v>162</v>
      </c>
      <c r="B10" s="102" t="s">
        <v>279</v>
      </c>
      <c r="C10" s="105">
        <f>ASSUMPTIONS!B7</f>
        <v>3.5000000000000003E-2</v>
      </c>
      <c r="D10" s="106">
        <f>(BALANCE_SHEET!G10-BALANCE_SHEET!F10)/BALANCE_SHEET!F10</f>
        <v>3.4999999999999809E-2</v>
      </c>
      <c r="E10" s="104">
        <f t="shared" si="1"/>
        <v>-1.9428902930940239E-16</v>
      </c>
      <c r="F10" s="103" t="str">
        <f>IF(ABS(E10)&lt;0.001,"PASS","FAIL")</f>
        <v>PASS</v>
      </c>
    </row>
    <row r="11" spans="1:8" ht="19" x14ac:dyDescent="0.25">
      <c r="A11" s="196" t="s">
        <v>167</v>
      </c>
      <c r="B11" s="196"/>
      <c r="C11" s="196"/>
      <c r="D11" s="196"/>
      <c r="E11" s="196"/>
      <c r="F11" s="196"/>
    </row>
    <row r="12" spans="1:8" ht="19" x14ac:dyDescent="0.25">
      <c r="A12" s="80" t="s">
        <v>153</v>
      </c>
      <c r="B12" s="80" t="s">
        <v>154</v>
      </c>
      <c r="C12" s="80" t="s">
        <v>155</v>
      </c>
      <c r="D12" s="80" t="s">
        <v>156</v>
      </c>
      <c r="E12" s="80" t="s">
        <v>157</v>
      </c>
      <c r="F12" s="80" t="s">
        <v>158</v>
      </c>
    </row>
    <row r="13" spans="1:8" x14ac:dyDescent="0.2">
      <c r="A13" s="10" t="s">
        <v>168</v>
      </c>
      <c r="B13" s="10" t="s">
        <v>173</v>
      </c>
      <c r="C13" s="107">
        <f>PL_MODEL!G6+PL_MODEL!G9</f>
        <v>5588.8635869565196</v>
      </c>
      <c r="D13" s="107">
        <f>PL_MODEL!G10</f>
        <v>5588.8635869565196</v>
      </c>
      <c r="E13" s="107">
        <f>D13-C13</f>
        <v>0</v>
      </c>
      <c r="F13" s="103" t="str">
        <f>IF(ABS(E13)&lt;1,"PASS","FAIL")</f>
        <v>PASS</v>
      </c>
    </row>
    <row r="14" spans="1:8" x14ac:dyDescent="0.2">
      <c r="A14" s="10" t="s">
        <v>169</v>
      </c>
      <c r="B14" s="10" t="s">
        <v>174</v>
      </c>
      <c r="C14" s="107">
        <f>PL_MODEL!G12+PL_MODEL!G13+PL_MODEL!G14+PL_MODEL!G15</f>
        <v>1953.6523332595498</v>
      </c>
      <c r="D14" s="107">
        <f>PL_MODEL!G16</f>
        <v>1953.6523332595498</v>
      </c>
      <c r="E14" s="107">
        <f t="shared" ref="E14:E17" si="2">D14-C14</f>
        <v>0</v>
      </c>
      <c r="F14" s="103" t="str">
        <f t="shared" ref="F14:F17" si="3">IF(ABS(E14)&lt;1,"PASS","FAIL")</f>
        <v>PASS</v>
      </c>
    </row>
    <row r="15" spans="1:8" x14ac:dyDescent="0.2">
      <c r="A15" s="10" t="s">
        <v>170</v>
      </c>
      <c r="B15" s="10" t="s">
        <v>175</v>
      </c>
      <c r="C15" s="107">
        <f>PL_MODEL!G17-PL_MODEL!G18</f>
        <v>3055.5011087694338</v>
      </c>
      <c r="D15" s="107">
        <f>PL_MODEL!G19</f>
        <v>3055.5011087694338</v>
      </c>
      <c r="E15" s="107">
        <f t="shared" si="2"/>
        <v>0</v>
      </c>
      <c r="F15" s="103" t="str">
        <f t="shared" si="3"/>
        <v>PASS</v>
      </c>
    </row>
    <row r="16" spans="1:8" x14ac:dyDescent="0.2">
      <c r="A16" s="10" t="s">
        <v>171</v>
      </c>
      <c r="B16" s="10" t="s">
        <v>176</v>
      </c>
      <c r="C16" s="107">
        <f>PL_MODEL!G19-PL_MODEL!G20</f>
        <v>2291.6258315770756</v>
      </c>
      <c r="D16" s="107">
        <f>PL_MODEL!G21</f>
        <v>2291.6258315770756</v>
      </c>
      <c r="E16" s="107">
        <f t="shared" si="2"/>
        <v>0</v>
      </c>
      <c r="F16" s="103" t="str">
        <f t="shared" si="3"/>
        <v>PASS</v>
      </c>
    </row>
    <row r="17" spans="1:6" x14ac:dyDescent="0.2">
      <c r="A17" s="10" t="s">
        <v>172</v>
      </c>
      <c r="B17" s="10" t="s">
        <v>177</v>
      </c>
      <c r="C17" s="104">
        <f>PL_MODEL!G19*ASSUMPTIONS!$B$14</f>
        <v>763.87527719235845</v>
      </c>
      <c r="D17" s="107">
        <f>PL_MODEL!G20</f>
        <v>763.87527719235845</v>
      </c>
      <c r="E17" s="107">
        <f t="shared" si="2"/>
        <v>0</v>
      </c>
      <c r="F17" s="103" t="str">
        <f t="shared" si="3"/>
        <v>PASS</v>
      </c>
    </row>
    <row r="18" spans="1:6" ht="19" x14ac:dyDescent="0.25">
      <c r="A18" s="196" t="s">
        <v>178</v>
      </c>
      <c r="B18" s="196"/>
      <c r="C18" s="196"/>
      <c r="D18" s="196"/>
      <c r="E18" s="196"/>
      <c r="F18" s="196"/>
    </row>
    <row r="19" spans="1:6" ht="19" x14ac:dyDescent="0.25">
      <c r="A19" s="80" t="s">
        <v>153</v>
      </c>
      <c r="B19" s="80" t="s">
        <v>154</v>
      </c>
      <c r="C19" s="80" t="s">
        <v>155</v>
      </c>
      <c r="D19" s="80" t="s">
        <v>156</v>
      </c>
      <c r="E19" s="80" t="s">
        <v>157</v>
      </c>
      <c r="F19" s="80" t="s">
        <v>158</v>
      </c>
    </row>
    <row r="20" spans="1:6" x14ac:dyDescent="0.2">
      <c r="A20" s="10" t="s">
        <v>179</v>
      </c>
      <c r="B20" s="10" t="s">
        <v>183</v>
      </c>
      <c r="C20" s="104">
        <f>BALANCE_SHEET!G4</f>
        <v>19577.951808621408</v>
      </c>
      <c r="D20" s="107">
        <f>CASH_FLOW!G20</f>
        <v>19577.951808621383</v>
      </c>
      <c r="E20" s="107">
        <f>D20-C20</f>
        <v>0</v>
      </c>
      <c r="F20" s="103" t="str">
        <f>IF(ABS(E20)&lt;1,"PASS","FAIL")</f>
        <v>PASS</v>
      </c>
    </row>
    <row r="21" spans="1:6" x14ac:dyDescent="0.2">
      <c r="A21" s="10" t="s">
        <v>180</v>
      </c>
      <c r="B21" s="10" t="s">
        <v>184</v>
      </c>
      <c r="C21" s="107">
        <f>PL_MODEL!G21</f>
        <v>2291.6258315770756</v>
      </c>
      <c r="D21" s="107">
        <f>CASH_FLOW!G4</f>
        <v>2291.6258315770756</v>
      </c>
      <c r="E21" s="107">
        <f t="shared" ref="E21:E23" si="4">D21-C21</f>
        <v>0</v>
      </c>
      <c r="F21" s="103" t="str">
        <f t="shared" ref="F21:F23" si="5">IF(ABS(E21)&lt;1,"PASS","FAIL")</f>
        <v>PASS</v>
      </c>
    </row>
    <row r="22" spans="1:6" x14ac:dyDescent="0.2">
      <c r="A22" s="10" t="s">
        <v>181</v>
      </c>
      <c r="B22" s="10" t="s">
        <v>185</v>
      </c>
      <c r="C22" s="107">
        <v>0</v>
      </c>
      <c r="D22" s="107">
        <f>CASH_FLOW!G20-(CASH_FLOW!G19+CASH_FLOW!G18)</f>
        <v>0</v>
      </c>
      <c r="E22" s="107">
        <f t="shared" si="4"/>
        <v>0</v>
      </c>
      <c r="F22" s="103" t="str">
        <f t="shared" si="5"/>
        <v>PASS</v>
      </c>
    </row>
    <row r="23" spans="1:6" x14ac:dyDescent="0.2">
      <c r="A23" s="10" t="s">
        <v>182</v>
      </c>
      <c r="B23" s="10" t="s">
        <v>186</v>
      </c>
      <c r="C23" s="107">
        <v>0</v>
      </c>
      <c r="D23" s="107">
        <f>CASH_FLOW!G18-(CASH_FLOW!G8+CASH_FLOW!G12+CASH_FLOW!G17)</f>
        <v>0</v>
      </c>
      <c r="E23" s="107">
        <f t="shared" si="4"/>
        <v>0</v>
      </c>
      <c r="F23" s="103" t="str">
        <f t="shared" si="5"/>
        <v>PASS</v>
      </c>
    </row>
    <row r="25" spans="1:6" ht="19" x14ac:dyDescent="0.25">
      <c r="A25" s="185" t="s">
        <v>187</v>
      </c>
      <c r="B25" s="185"/>
    </row>
    <row r="26" spans="1:6" x14ac:dyDescent="0.2">
      <c r="A26" s="10" t="s">
        <v>188</v>
      </c>
      <c r="B26" s="103">
        <f>COUNTIF(F7:F37,"PASS")+COUNTIF(F7:F37,"FAIL")</f>
        <v>18</v>
      </c>
    </row>
    <row r="27" spans="1:6" x14ac:dyDescent="0.2">
      <c r="A27" s="10" t="s">
        <v>189</v>
      </c>
      <c r="B27" s="103">
        <f>COUNTIF(F7:F37,"PASS")</f>
        <v>18</v>
      </c>
    </row>
    <row r="28" spans="1:6" x14ac:dyDescent="0.2">
      <c r="A28" s="10" t="s">
        <v>190</v>
      </c>
      <c r="B28" s="103">
        <f>COUNTIF(F7:F37,"FAIL")</f>
        <v>0</v>
      </c>
    </row>
    <row r="29" spans="1:6" x14ac:dyDescent="0.2">
      <c r="A29" s="10" t="s">
        <v>191</v>
      </c>
      <c r="B29" s="108">
        <f>B27/B26</f>
        <v>1</v>
      </c>
    </row>
    <row r="30" spans="1:6" x14ac:dyDescent="0.2">
      <c r="A30" s="10" t="s">
        <v>192</v>
      </c>
      <c r="B30" s="109" t="str">
        <f>IF(B28=0,"MODEL APPROVED — ALL CHECKS PASS","MODEL REQUIRES ATTENTION — REVIEW FAILING CHECKS")</f>
        <v>MODEL APPROVED — ALL CHECKS PASS</v>
      </c>
    </row>
    <row r="31" spans="1:6" x14ac:dyDescent="0.2">
      <c r="A31" s="151" t="s">
        <v>193</v>
      </c>
      <c r="B31" s="152">
        <v>46196</v>
      </c>
    </row>
    <row r="32" spans="1:6" x14ac:dyDescent="0.2">
      <c r="A32" s="153" t="s">
        <v>280</v>
      </c>
      <c r="B32" s="154"/>
      <c r="C32" s="154"/>
      <c r="D32" s="154"/>
      <c r="E32" s="154"/>
      <c r="F32" s="154"/>
    </row>
    <row r="33" spans="1:6" x14ac:dyDescent="0.2">
      <c r="A33" s="154" t="s">
        <v>281</v>
      </c>
      <c r="B33" s="154" t="s">
        <v>282</v>
      </c>
      <c r="C33" s="155">
        <v>0</v>
      </c>
      <c r="D33" s="155" cm="1">
        <f t="array" ref="D33">SUMPRODUCT(ABS(BALANCE_SHEET!B19:K19))</f>
        <v>0</v>
      </c>
      <c r="E33" s="155">
        <f>D33-C33</f>
        <v>0</v>
      </c>
      <c r="F33" s="156" t="str">
        <f>IF(ABS(E33)&lt;1,"PASS","FAIL")</f>
        <v>PASS</v>
      </c>
    </row>
    <row r="34" spans="1:6" x14ac:dyDescent="0.2">
      <c r="A34" s="154" t="s">
        <v>283</v>
      </c>
      <c r="B34" s="154" t="s">
        <v>284</v>
      </c>
      <c r="C34" s="155">
        <v>0</v>
      </c>
      <c r="D34" s="155" cm="1">
        <f t="array" ref="D34">SUMPRODUCT(ABS(CASH_FLOW!B22:K22))</f>
        <v>5.8207660913467407E-11</v>
      </c>
      <c r="E34" s="155">
        <f>D34-C34</f>
        <v>5.8207660913467407E-11</v>
      </c>
      <c r="F34" s="156" t="str">
        <f>IF(ABS(E34)&lt;1,"PASS","FAIL")</f>
        <v>PASS</v>
      </c>
    </row>
    <row r="35" spans="1:6" x14ac:dyDescent="0.2">
      <c r="A35" s="154" t="s">
        <v>285</v>
      </c>
      <c r="B35" s="154" t="s">
        <v>286</v>
      </c>
      <c r="C35" s="155">
        <v>0</v>
      </c>
      <c r="D35" s="155" cm="1">
        <f t="array" ref="D35">SUMPRODUCT(--(BALANCE_SHEET!B4:K4/BALANCE_SHEET!B8:K8&gt;0.25))+SUMPRODUCT(--(BALANCE_SHEET!B4:K4/BALANCE_SHEET!B8:K8&lt;0.02))</f>
        <v>0</v>
      </c>
      <c r="E35" s="155">
        <f>D35-C35</f>
        <v>0</v>
      </c>
      <c r="F35" s="156" t="str">
        <f>IF(ABS(E35)&lt;1,"PASS","FAIL")</f>
        <v>PASS</v>
      </c>
    </row>
    <row r="36" spans="1:6" x14ac:dyDescent="0.2">
      <c r="A36" s="154" t="s">
        <v>287</v>
      </c>
      <c r="B36" s="154" t="s">
        <v>288</v>
      </c>
      <c r="C36" s="155">
        <v>0</v>
      </c>
      <c r="D36" s="155" cm="1">
        <f t="array" ref="D36">SUMPRODUCT(--(BALANCE_SHEET!B22:K22&gt;130))+SUMPRODUCT(--(BALANCE_SHEET!B22:K22&lt;80))</f>
        <v>0</v>
      </c>
      <c r="E36" s="155">
        <f>D36-C36</f>
        <v>0</v>
      </c>
      <c r="F36" s="156" t="str">
        <f>IF(ABS(E36)&lt;1,"PASS","FAIL")</f>
        <v>PASS</v>
      </c>
    </row>
    <row r="37" spans="1:6" x14ac:dyDescent="0.2">
      <c r="A37" s="154" t="s">
        <v>289</v>
      </c>
      <c r="B37" s="154" t="s">
        <v>290</v>
      </c>
      <c r="C37" s="155">
        <v>0</v>
      </c>
      <c r="D37" s="155" cm="1">
        <f t="array" ref="D37">SUMPRODUCT(--(PL_MODEL!B24:K24&gt;5))+SUMPRODUCT(--(PL_MODEL!B24:K24&lt;0.5))</f>
        <v>0</v>
      </c>
      <c r="E37" s="155">
        <f>D37-C37</f>
        <v>0</v>
      </c>
      <c r="F37" s="156" t="str">
        <f>IF(ABS(E37)&lt;1,"PASS","FAIL")</f>
        <v>PASS</v>
      </c>
    </row>
  </sheetData>
  <mergeCells count="6">
    <mergeCell ref="A25:B25"/>
    <mergeCell ref="A3:H3"/>
    <mergeCell ref="A5:F5"/>
    <mergeCell ref="A1:H1"/>
    <mergeCell ref="A11:F11"/>
    <mergeCell ref="A18:F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F8D6-A2FA-BB4A-BB03-5FF49653CA54}">
  <sheetPr>
    <tabColor theme="8"/>
  </sheetPr>
  <dimension ref="A1:C77"/>
  <sheetViews>
    <sheetView showGridLines="0" topLeftCell="A67" zoomScale="120" zoomScaleNormal="120" workbookViewId="0">
      <selection activeCell="C17" sqref="C17"/>
    </sheetView>
  </sheetViews>
  <sheetFormatPr baseColWidth="10" defaultRowHeight="16" x14ac:dyDescent="0.2"/>
  <cols>
    <col min="1" max="1" width="61.5" bestFit="1" customWidth="1"/>
    <col min="2" max="2" width="16" bestFit="1" customWidth="1"/>
    <col min="3" max="3" width="14.83203125" bestFit="1" customWidth="1"/>
  </cols>
  <sheetData>
    <row r="1" spans="1:3" ht="19" x14ac:dyDescent="0.25">
      <c r="A1" s="185" t="s">
        <v>194</v>
      </c>
      <c r="B1" s="185"/>
      <c r="C1" s="185"/>
    </row>
    <row r="3" spans="1:3" x14ac:dyDescent="0.2">
      <c r="A3" s="186" t="s">
        <v>397</v>
      </c>
      <c r="B3" s="186"/>
      <c r="C3" s="186"/>
    </row>
    <row r="4" spans="1:3" x14ac:dyDescent="0.2">
      <c r="A4" s="186"/>
      <c r="B4" s="186"/>
      <c r="C4" s="186"/>
    </row>
    <row r="8" spans="1:3" x14ac:dyDescent="0.2">
      <c r="A8" s="188" t="s">
        <v>195</v>
      </c>
      <c r="B8" s="188"/>
    </row>
    <row r="9" spans="1:3" x14ac:dyDescent="0.2">
      <c r="A9" s="110" t="s">
        <v>196</v>
      </c>
      <c r="B9" s="110" t="s">
        <v>197</v>
      </c>
    </row>
    <row r="10" spans="1:3" x14ac:dyDescent="0.2">
      <c r="A10" s="103">
        <v>2019</v>
      </c>
      <c r="B10" s="107">
        <f>PL_MODEL!B6</f>
        <v>2196.1771831634783</v>
      </c>
    </row>
    <row r="11" spans="1:3" x14ac:dyDescent="0.2">
      <c r="A11" s="103">
        <v>2020</v>
      </c>
      <c r="B11" s="107">
        <f>PL_MODEL!C6</f>
        <v>2049.591599588387</v>
      </c>
    </row>
    <row r="12" spans="1:3" x14ac:dyDescent="0.2">
      <c r="A12" s="103">
        <v>2021</v>
      </c>
      <c r="B12" s="107">
        <f>PL_MODEL!D6</f>
        <v>2066.5619544953784</v>
      </c>
    </row>
    <row r="13" spans="1:3" x14ac:dyDescent="0.2">
      <c r="A13" s="103">
        <v>2022</v>
      </c>
      <c r="B13" s="107">
        <f>PL_MODEL!E6</f>
        <v>2760.4802078256384</v>
      </c>
    </row>
    <row r="14" spans="1:3" x14ac:dyDescent="0.2">
      <c r="A14" s="103">
        <v>2023</v>
      </c>
      <c r="B14" s="107">
        <f>PL_MODEL!F6</f>
        <v>4388.3592382552697</v>
      </c>
    </row>
    <row r="15" spans="1:3" x14ac:dyDescent="0.2">
      <c r="A15" s="103">
        <v>2024</v>
      </c>
      <c r="B15" s="107">
        <f>PL_MODEL!G6</f>
        <v>4754.0591787439589</v>
      </c>
    </row>
    <row r="16" spans="1:3" x14ac:dyDescent="0.2">
      <c r="A16" s="103">
        <v>2025</v>
      </c>
      <c r="B16" s="107">
        <f>PL_MODEL!H6</f>
        <v>4484.7860000000001</v>
      </c>
    </row>
    <row r="17" spans="1:3" x14ac:dyDescent="0.2">
      <c r="A17" s="103">
        <v>2026</v>
      </c>
      <c r="B17" s="107">
        <f>PL_MODEL!I6</f>
        <v>4376.3034374999988</v>
      </c>
    </row>
    <row r="18" spans="1:3" x14ac:dyDescent="0.2">
      <c r="A18" s="103">
        <v>2027</v>
      </c>
      <c r="B18" s="107">
        <f>PL_MODEL!J6</f>
        <v>4529.4740578125011</v>
      </c>
    </row>
    <row r="19" spans="1:3" x14ac:dyDescent="0.2">
      <c r="A19" s="103">
        <v>2028</v>
      </c>
      <c r="B19" s="107">
        <f>PL_MODEL!K6</f>
        <v>4688.0056498359372</v>
      </c>
    </row>
    <row r="23" spans="1:3" x14ac:dyDescent="0.2">
      <c r="A23" s="188" t="s">
        <v>198</v>
      </c>
      <c r="B23" s="188"/>
      <c r="C23" s="188"/>
    </row>
    <row r="24" spans="1:3" x14ac:dyDescent="0.2">
      <c r="A24" s="110" t="s">
        <v>196</v>
      </c>
      <c r="B24" s="110" t="s">
        <v>199</v>
      </c>
      <c r="C24" s="110" t="s">
        <v>200</v>
      </c>
    </row>
    <row r="25" spans="1:3" x14ac:dyDescent="0.2">
      <c r="A25" s="103">
        <v>2019</v>
      </c>
      <c r="B25" s="107">
        <f>PL_MODEL!B10</f>
        <v>2808.7294405038433</v>
      </c>
      <c r="C25" s="107">
        <f>PL_MODEL!B16</f>
        <v>1685.237664302306</v>
      </c>
    </row>
    <row r="26" spans="1:3" x14ac:dyDescent="0.2">
      <c r="A26" s="103">
        <v>2020</v>
      </c>
      <c r="B26" s="107">
        <f>PL_MODEL!C10</f>
        <v>2672.4105966863744</v>
      </c>
      <c r="C26" s="107">
        <f>PL_MODEL!C16</f>
        <v>1735.7947942313751</v>
      </c>
    </row>
    <row r="27" spans="1:3" x14ac:dyDescent="0.2">
      <c r="A27" s="103">
        <v>2021</v>
      </c>
      <c r="B27" s="107">
        <f>PL_MODEL!D10</f>
        <v>2708.4413489378649</v>
      </c>
      <c r="C27" s="107">
        <f>PL_MODEL!D16</f>
        <v>1787.8686380583165</v>
      </c>
    </row>
    <row r="28" spans="1:3" x14ac:dyDescent="0.2">
      <c r="A28" s="103">
        <v>2022</v>
      </c>
      <c r="B28" s="107">
        <f>PL_MODEL!E10</f>
        <v>3455.9048103197583</v>
      </c>
      <c r="C28" s="107">
        <f>PL_MODEL!E16</f>
        <v>1841.5046972000659</v>
      </c>
    </row>
    <row r="29" spans="1:3" x14ac:dyDescent="0.2">
      <c r="A29" s="103">
        <v>2023</v>
      </c>
      <c r="B29" s="107">
        <f>PL_MODEL!F10</f>
        <v>5184.6868129944705</v>
      </c>
      <c r="C29" s="107">
        <f>PL_MODEL!F16</f>
        <v>1896.7498381160681</v>
      </c>
    </row>
    <row r="30" spans="1:3" x14ac:dyDescent="0.2">
      <c r="A30" s="103">
        <v>2024</v>
      </c>
      <c r="B30" s="107">
        <f>PL_MODEL!G10</f>
        <v>5588.8635869565196</v>
      </c>
      <c r="C30" s="107">
        <f>PL_MODEL!G16</f>
        <v>1953.6523332595498</v>
      </c>
    </row>
    <row r="31" spans="1:3" x14ac:dyDescent="0.2">
      <c r="A31" s="103">
        <v>2025</v>
      </c>
      <c r="B31" s="107">
        <f>PL_MODEL!H10</f>
        <v>5327.0253000000002</v>
      </c>
      <c r="C31" s="107">
        <f>PL_MODEL!H16</f>
        <v>2012.2619032573364</v>
      </c>
    </row>
    <row r="32" spans="1:3" x14ac:dyDescent="0.2">
      <c r="A32" s="103">
        <v>2026</v>
      </c>
      <c r="B32" s="107">
        <f>PL_MODEL!I10</f>
        <v>5234.7486093749985</v>
      </c>
      <c r="C32" s="107">
        <f>PL_MODEL!I16</f>
        <v>2072.6297603550565</v>
      </c>
    </row>
    <row r="33" spans="1:3" x14ac:dyDescent="0.2">
      <c r="A33" s="103">
        <v>2027</v>
      </c>
      <c r="B33" s="107">
        <f>PL_MODEL!J10</f>
        <v>5417.9648107031262</v>
      </c>
      <c r="C33" s="107">
        <f>PL_MODEL!J16</f>
        <v>2134.8086531657082</v>
      </c>
    </row>
    <row r="34" spans="1:3" x14ac:dyDescent="0.2">
      <c r="A34" s="103">
        <v>2028</v>
      </c>
      <c r="B34" s="107">
        <f>PL_MODEL!K10</f>
        <v>5607.5935790777339</v>
      </c>
      <c r="C34" s="107">
        <f>PL_MODEL!K16</f>
        <v>2198.8529127606798</v>
      </c>
    </row>
    <row r="38" spans="1:3" x14ac:dyDescent="0.2">
      <c r="A38" s="188" t="s">
        <v>201</v>
      </c>
      <c r="B38" s="188"/>
      <c r="C38" s="188"/>
    </row>
    <row r="39" spans="1:3" x14ac:dyDescent="0.2">
      <c r="A39" s="110" t="s">
        <v>196</v>
      </c>
      <c r="B39" s="110" t="s">
        <v>202</v>
      </c>
      <c r="C39" s="110" t="s">
        <v>203</v>
      </c>
    </row>
    <row r="40" spans="1:3" x14ac:dyDescent="0.2">
      <c r="A40" s="103">
        <v>2019</v>
      </c>
      <c r="B40" s="107">
        <f>PL_MODEL!B$21</f>
        <v>514.66702558967734</v>
      </c>
      <c r="C40" s="111">
        <f>PL_MODEL!B24</f>
        <v>1.7473543689320383</v>
      </c>
    </row>
    <row r="41" spans="1:3" x14ac:dyDescent="0.2">
      <c r="A41" s="103">
        <v>2020</v>
      </c>
      <c r="B41" s="107">
        <f>PL_MODEL!C21</f>
        <v>349.45984089530674</v>
      </c>
      <c r="C41" s="111">
        <f>PL_MODEL!C24</f>
        <v>1.5755805016181228</v>
      </c>
    </row>
    <row r="42" spans="1:3" x14ac:dyDescent="0.2">
      <c r="A42" s="103">
        <v>2021</v>
      </c>
      <c r="B42" s="107">
        <f>PL_MODEL!D21</f>
        <v>322.14297315092796</v>
      </c>
      <c r="C42" s="111">
        <f>PL_MODEL!D24</f>
        <v>1.5349044498381881</v>
      </c>
    </row>
    <row r="43" spans="1:3" x14ac:dyDescent="0.2">
      <c r="A43" s="103">
        <v>2022</v>
      </c>
      <c r="B43" s="107">
        <f>PL_MODEL!E21</f>
        <v>869.31993667229187</v>
      </c>
      <c r="C43" s="111">
        <f>PL_MODEL!E24</f>
        <v>1.9809668284789639</v>
      </c>
    </row>
    <row r="44" spans="1:3" x14ac:dyDescent="0.2">
      <c r="A44" s="103">
        <v>2023</v>
      </c>
      <c r="B44" s="107">
        <f>PL_MODEL!F21</f>
        <v>2045.8729159939205</v>
      </c>
      <c r="C44" s="111">
        <f>PL_MODEL!F24</f>
        <v>3.0426667475728157</v>
      </c>
    </row>
    <row r="45" spans="1:3" x14ac:dyDescent="0.2">
      <c r="A45" s="103">
        <v>2024</v>
      </c>
      <c r="B45" s="107">
        <f>PL_MODEL!G21</f>
        <v>2291.6258315770756</v>
      </c>
      <c r="C45" s="111">
        <f>PL_MODEL!G24</f>
        <v>3.1847580906148849</v>
      </c>
    </row>
    <row r="46" spans="1:3" x14ac:dyDescent="0.2">
      <c r="A46" s="103">
        <v>2025</v>
      </c>
      <c r="B46" s="107">
        <f>PL_MODEL!H21</f>
        <v>2036.0725475569977</v>
      </c>
      <c r="C46" s="111">
        <f>PL_MODEL!H24</f>
        <v>2.9027741100323623</v>
      </c>
    </row>
    <row r="47" spans="1:3" x14ac:dyDescent="0.2">
      <c r="A47" s="103">
        <v>2026</v>
      </c>
      <c r="B47" s="107">
        <f>PL_MODEL!I21</f>
        <v>1905.8391367649565</v>
      </c>
      <c r="C47" s="111">
        <f>PL_MODEL!I24</f>
        <v>2.7367718446601934</v>
      </c>
    </row>
    <row r="48" spans="1:3" x14ac:dyDescent="0.2">
      <c r="A48" s="103">
        <v>2027</v>
      </c>
      <c r="B48" s="107">
        <f>PL_MODEL!J21</f>
        <v>1980.3158681530635</v>
      </c>
      <c r="C48" s="111">
        <f>PL_MODEL!J24</f>
        <v>2.7367718446601947</v>
      </c>
    </row>
    <row r="49" spans="1:3" x14ac:dyDescent="0.2">
      <c r="A49" s="103">
        <v>2028</v>
      </c>
      <c r="B49" s="107">
        <f>PL_MODEL!K21</f>
        <v>2057.6324559877908</v>
      </c>
      <c r="C49" s="111">
        <f>PL_MODEL!K24</f>
        <v>2.7367718446601943</v>
      </c>
    </row>
    <row r="55" spans="1:3" x14ac:dyDescent="0.2">
      <c r="A55" s="187" t="s">
        <v>204</v>
      </c>
      <c r="B55" s="187"/>
    </row>
    <row r="56" spans="1:3" x14ac:dyDescent="0.2">
      <c r="A56" s="112" t="s">
        <v>205</v>
      </c>
      <c r="B56" s="110" t="s">
        <v>206</v>
      </c>
    </row>
    <row r="57" spans="1:3" x14ac:dyDescent="0.2">
      <c r="A57" s="10" t="s">
        <v>207</v>
      </c>
      <c r="B57" s="107">
        <f>PL_MODEL!G6</f>
        <v>4754.0591787439589</v>
      </c>
    </row>
    <row r="58" spans="1:3" x14ac:dyDescent="0.2">
      <c r="A58" s="10" t="s">
        <v>56</v>
      </c>
      <c r="B58" s="107">
        <f>PL_MODEL!G7</f>
        <v>597.10144927536237</v>
      </c>
    </row>
    <row r="59" spans="1:3" x14ac:dyDescent="0.2">
      <c r="A59" s="10" t="s">
        <v>57</v>
      </c>
      <c r="B59" s="107">
        <f>PL_MODEL!G8</f>
        <v>237.70295893719796</v>
      </c>
    </row>
    <row r="60" spans="1:3" x14ac:dyDescent="0.2">
      <c r="A60" s="10" t="s">
        <v>65</v>
      </c>
      <c r="B60" s="107">
        <f>-PL_MODEL!G16</f>
        <v>-1953.6523332595498</v>
      </c>
    </row>
    <row r="61" spans="1:3" x14ac:dyDescent="0.2">
      <c r="A61" s="10" t="s">
        <v>67</v>
      </c>
      <c r="B61" s="107">
        <f>-PL_MODEL!G18</f>
        <v>-579.71014492753625</v>
      </c>
    </row>
    <row r="62" spans="1:3" x14ac:dyDescent="0.2">
      <c r="A62" s="10" t="s">
        <v>69</v>
      </c>
      <c r="B62" s="107">
        <f>-PL_MODEL!G20</f>
        <v>-763.87527719235845</v>
      </c>
    </row>
    <row r="63" spans="1:3" x14ac:dyDescent="0.2">
      <c r="A63" s="10" t="s">
        <v>70</v>
      </c>
      <c r="B63" s="107">
        <f>PL_MODEL!G21</f>
        <v>2291.6258315770756</v>
      </c>
    </row>
    <row r="72" spans="1:2" x14ac:dyDescent="0.2">
      <c r="A72" s="188" t="s">
        <v>208</v>
      </c>
      <c r="B72" s="188"/>
    </row>
    <row r="73" spans="1:2" x14ac:dyDescent="0.2">
      <c r="A73" s="110" t="s">
        <v>209</v>
      </c>
      <c r="B73" s="110" t="s">
        <v>202</v>
      </c>
    </row>
    <row r="74" spans="1:2" x14ac:dyDescent="0.2">
      <c r="A74" s="10" t="s">
        <v>145</v>
      </c>
      <c r="B74" s="107">
        <f>SCENARIO_ANALYSIS!B7</f>
        <v>2057.6324559877912</v>
      </c>
    </row>
    <row r="75" spans="1:2" x14ac:dyDescent="0.2">
      <c r="A75" s="10" t="s">
        <v>146</v>
      </c>
      <c r="B75" s="107">
        <f>SCENARIO_ANALYSIS!C7</f>
        <v>2634.1103719711455</v>
      </c>
    </row>
    <row r="76" spans="1:2" x14ac:dyDescent="0.2">
      <c r="A76" s="10" t="s">
        <v>147</v>
      </c>
      <c r="B76" s="107">
        <f>SCENARIO_ANALYSIS!D7</f>
        <v>1711.9831761120906</v>
      </c>
    </row>
    <row r="77" spans="1:2" x14ac:dyDescent="0.2">
      <c r="A77" s="10" t="s">
        <v>148</v>
      </c>
      <c r="B77" s="107">
        <f>SCENARIO_ANALYSIS!E7</f>
        <v>1192.9155820127589</v>
      </c>
    </row>
  </sheetData>
  <mergeCells count="7">
    <mergeCell ref="A1:C1"/>
    <mergeCell ref="A3:C4"/>
    <mergeCell ref="A38:C38"/>
    <mergeCell ref="A55:B55"/>
    <mergeCell ref="A72:B72"/>
    <mergeCell ref="A8:B8"/>
    <mergeCell ref="A23:C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B9EE-FEEB-E444-A0C2-5A16D4BA2D7C}">
  <dimension ref="A1:E466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6" x14ac:dyDescent="0.2"/>
  <cols>
    <col min="1" max="1" width="7.33203125" bestFit="1" customWidth="1"/>
    <col min="2" max="2" width="16.5" bestFit="1" customWidth="1"/>
    <col min="3" max="3" width="30.1640625" bestFit="1" customWidth="1"/>
    <col min="4" max="4" width="7.1640625" bestFit="1" customWidth="1"/>
    <col min="5" max="5" width="9.6640625" bestFit="1" customWidth="1"/>
  </cols>
  <sheetData>
    <row r="1" spans="1:5" x14ac:dyDescent="0.2">
      <c r="A1" s="14" t="s">
        <v>196</v>
      </c>
      <c r="B1" s="14" t="s">
        <v>365</v>
      </c>
      <c r="C1" s="14" t="s">
        <v>366</v>
      </c>
      <c r="D1" s="14" t="s">
        <v>367</v>
      </c>
      <c r="E1" s="14" t="s">
        <v>368</v>
      </c>
    </row>
    <row r="2" spans="1:5" x14ac:dyDescent="0.2">
      <c r="A2" s="178">
        <v>2019</v>
      </c>
      <c r="B2" t="s">
        <v>369</v>
      </c>
      <c r="C2" t="s">
        <v>53</v>
      </c>
      <c r="D2" t="s">
        <v>370</v>
      </c>
      <c r="E2" s="179">
        <f>PL_MODEL!B4</f>
        <v>2827.9316147748254</v>
      </c>
    </row>
    <row r="3" spans="1:5" x14ac:dyDescent="0.2">
      <c r="A3" s="178">
        <v>2020</v>
      </c>
      <c r="B3" t="s">
        <v>369</v>
      </c>
      <c r="C3" t="s">
        <v>53</v>
      </c>
      <c r="D3" t="s">
        <v>370</v>
      </c>
      <c r="E3" s="179">
        <f>PL_MODEL!C4</f>
        <v>2249.3839385854758</v>
      </c>
    </row>
    <row r="4" spans="1:5" x14ac:dyDescent="0.2">
      <c r="A4" s="178">
        <v>2021</v>
      </c>
      <c r="B4" t="s">
        <v>369</v>
      </c>
      <c r="C4" t="s">
        <v>53</v>
      </c>
      <c r="D4" t="s">
        <v>370</v>
      </c>
      <c r="E4" s="179">
        <f>PL_MODEL!D4</f>
        <v>2162.0590599480047</v>
      </c>
    </row>
    <row r="5" spans="1:5" x14ac:dyDescent="0.2">
      <c r="A5" s="178">
        <v>2022</v>
      </c>
      <c r="B5" t="s">
        <v>369</v>
      </c>
      <c r="C5" t="s">
        <v>53</v>
      </c>
      <c r="D5" t="s">
        <v>370</v>
      </c>
      <c r="E5" s="179">
        <f>PL_MODEL!E4</f>
        <v>4122.4418790939044</v>
      </c>
    </row>
    <row r="6" spans="1:5" x14ac:dyDescent="0.2">
      <c r="A6" s="178">
        <v>2023</v>
      </c>
      <c r="B6" t="s">
        <v>369</v>
      </c>
      <c r="C6" t="s">
        <v>53</v>
      </c>
      <c r="D6" t="s">
        <v>370</v>
      </c>
      <c r="E6" s="179">
        <f>PL_MODEL!F4</f>
        <v>8909.6478330882892</v>
      </c>
    </row>
    <row r="7" spans="1:5" x14ac:dyDescent="0.2">
      <c r="A7" s="178">
        <v>2024</v>
      </c>
      <c r="B7" t="s">
        <v>369</v>
      </c>
      <c r="C7" t="s">
        <v>53</v>
      </c>
      <c r="D7" t="s">
        <v>370</v>
      </c>
      <c r="E7" s="179">
        <f>PL_MODEL!G4</f>
        <v>9864.6135265700468</v>
      </c>
    </row>
    <row r="8" spans="1:5" x14ac:dyDescent="0.2">
      <c r="A8" s="178">
        <v>2025</v>
      </c>
      <c r="B8" t="s">
        <v>369</v>
      </c>
      <c r="C8" t="s">
        <v>53</v>
      </c>
      <c r="D8" t="s">
        <v>370</v>
      </c>
      <c r="E8" s="179">
        <f>PL_MODEL!H4</f>
        <v>8888.9</v>
      </c>
    </row>
    <row r="9" spans="1:5" x14ac:dyDescent="0.2">
      <c r="A9" s="178">
        <v>2026</v>
      </c>
      <c r="B9" t="s">
        <v>369</v>
      </c>
      <c r="C9" t="s">
        <v>53</v>
      </c>
      <c r="D9" t="s">
        <v>370</v>
      </c>
      <c r="E9" s="179">
        <f>PL_MODEL!I4</f>
        <v>8395.1437499999993</v>
      </c>
    </row>
    <row r="10" spans="1:5" x14ac:dyDescent="0.2">
      <c r="A10" s="178">
        <v>2027</v>
      </c>
      <c r="B10" t="s">
        <v>369</v>
      </c>
      <c r="C10" t="s">
        <v>53</v>
      </c>
      <c r="D10" t="s">
        <v>370</v>
      </c>
      <c r="E10" s="179">
        <f>PL_MODEL!J4</f>
        <v>8688.9737812500007</v>
      </c>
    </row>
    <row r="11" spans="1:5" x14ac:dyDescent="0.2">
      <c r="A11" s="178">
        <v>2028</v>
      </c>
      <c r="B11" t="s">
        <v>369</v>
      </c>
      <c r="C11" t="s">
        <v>53</v>
      </c>
      <c r="D11" t="s">
        <v>370</v>
      </c>
      <c r="E11" s="179">
        <f>PL_MODEL!K4</f>
        <v>8993.0878635937497</v>
      </c>
    </row>
    <row r="12" spans="1:5" x14ac:dyDescent="0.2">
      <c r="A12" s="178">
        <v>2019</v>
      </c>
      <c r="B12" t="s">
        <v>369</v>
      </c>
      <c r="C12" t="s">
        <v>54</v>
      </c>
      <c r="D12" t="s">
        <v>370</v>
      </c>
      <c r="E12" s="179">
        <f>PL_MODEL!B5</f>
        <v>631.75443161134706</v>
      </c>
    </row>
    <row r="13" spans="1:5" x14ac:dyDescent="0.2">
      <c r="A13" s="178">
        <v>2020</v>
      </c>
      <c r="B13" t="s">
        <v>369</v>
      </c>
      <c r="C13" t="s">
        <v>54</v>
      </c>
      <c r="D13" t="s">
        <v>370</v>
      </c>
      <c r="E13" s="179">
        <f>PL_MODEL!C5</f>
        <v>199.79233899708856</v>
      </c>
    </row>
    <row r="14" spans="1:5" x14ac:dyDescent="0.2">
      <c r="A14" s="178">
        <v>2021</v>
      </c>
      <c r="B14" t="s">
        <v>369</v>
      </c>
      <c r="C14" t="s">
        <v>54</v>
      </c>
      <c r="D14" t="s">
        <v>370</v>
      </c>
      <c r="E14" s="179">
        <f>PL_MODEL!D5</f>
        <v>95.497105452626514</v>
      </c>
    </row>
    <row r="15" spans="1:5" x14ac:dyDescent="0.2">
      <c r="A15" s="178">
        <v>2022</v>
      </c>
      <c r="B15" t="s">
        <v>369</v>
      </c>
      <c r="C15" t="s">
        <v>54</v>
      </c>
      <c r="D15" t="s">
        <v>370</v>
      </c>
      <c r="E15" s="179">
        <f>PL_MODEL!E5</f>
        <v>1361.9616712682659</v>
      </c>
    </row>
    <row r="16" spans="1:5" x14ac:dyDescent="0.2">
      <c r="A16" s="178">
        <v>2023</v>
      </c>
      <c r="B16" t="s">
        <v>369</v>
      </c>
      <c r="C16" t="s">
        <v>54</v>
      </c>
      <c r="D16" t="s">
        <v>370</v>
      </c>
      <c r="E16" s="179">
        <f>PL_MODEL!F5</f>
        <v>4521.2885948330195</v>
      </c>
    </row>
    <row r="17" spans="1:5" x14ac:dyDescent="0.2">
      <c r="A17" s="178">
        <v>2024</v>
      </c>
      <c r="B17" t="s">
        <v>369</v>
      </c>
      <c r="C17" t="s">
        <v>54</v>
      </c>
      <c r="D17" t="s">
        <v>370</v>
      </c>
      <c r="E17" s="179">
        <f>PL_MODEL!G5</f>
        <v>5110.5543478260879</v>
      </c>
    </row>
    <row r="18" spans="1:5" x14ac:dyDescent="0.2">
      <c r="A18" s="178">
        <v>2025</v>
      </c>
      <c r="B18" t="s">
        <v>369</v>
      </c>
      <c r="C18" t="s">
        <v>54</v>
      </c>
      <c r="D18" t="s">
        <v>370</v>
      </c>
      <c r="E18" s="179">
        <f>PL_MODEL!H5</f>
        <v>4404.1139999999996</v>
      </c>
    </row>
    <row r="19" spans="1:5" x14ac:dyDescent="0.2">
      <c r="A19" s="178">
        <v>2026</v>
      </c>
      <c r="B19" t="s">
        <v>369</v>
      </c>
      <c r="C19" t="s">
        <v>54</v>
      </c>
      <c r="D19" t="s">
        <v>370</v>
      </c>
      <c r="E19" s="179">
        <f>PL_MODEL!I5</f>
        <v>4018.8403125</v>
      </c>
    </row>
    <row r="20" spans="1:5" x14ac:dyDescent="0.2">
      <c r="A20" s="178">
        <v>2027</v>
      </c>
      <c r="B20" t="s">
        <v>369</v>
      </c>
      <c r="C20" t="s">
        <v>54</v>
      </c>
      <c r="D20" t="s">
        <v>370</v>
      </c>
      <c r="E20" s="179">
        <f>PL_MODEL!J5</f>
        <v>4159.4997234374996</v>
      </c>
    </row>
    <row r="21" spans="1:5" x14ac:dyDescent="0.2">
      <c r="A21" s="178">
        <v>2028</v>
      </c>
      <c r="B21" t="s">
        <v>369</v>
      </c>
      <c r="C21" t="s">
        <v>54</v>
      </c>
      <c r="D21" t="s">
        <v>370</v>
      </c>
      <c r="E21" s="179">
        <f>PL_MODEL!K5</f>
        <v>4305.0822137578125</v>
      </c>
    </row>
    <row r="22" spans="1:5" x14ac:dyDescent="0.2">
      <c r="A22" s="178">
        <v>2019</v>
      </c>
      <c r="B22" t="s">
        <v>369</v>
      </c>
      <c r="C22" t="s">
        <v>207</v>
      </c>
      <c r="D22" t="s">
        <v>370</v>
      </c>
      <c r="E22" s="179">
        <f>PL_MODEL!B6</f>
        <v>2196.1771831634783</v>
      </c>
    </row>
    <row r="23" spans="1:5" x14ac:dyDescent="0.2">
      <c r="A23" s="178">
        <v>2020</v>
      </c>
      <c r="B23" t="s">
        <v>369</v>
      </c>
      <c r="C23" t="s">
        <v>207</v>
      </c>
      <c r="D23" t="s">
        <v>370</v>
      </c>
      <c r="E23" s="179">
        <f>PL_MODEL!C6</f>
        <v>2049.591599588387</v>
      </c>
    </row>
    <row r="24" spans="1:5" x14ac:dyDescent="0.2">
      <c r="A24" s="178">
        <v>2021</v>
      </c>
      <c r="B24" t="s">
        <v>369</v>
      </c>
      <c r="C24" t="s">
        <v>207</v>
      </c>
      <c r="D24" t="s">
        <v>370</v>
      </c>
      <c r="E24" s="179">
        <f>PL_MODEL!D6</f>
        <v>2066.5619544953784</v>
      </c>
    </row>
    <row r="25" spans="1:5" x14ac:dyDescent="0.2">
      <c r="A25" s="178">
        <v>2022</v>
      </c>
      <c r="B25" t="s">
        <v>369</v>
      </c>
      <c r="C25" t="s">
        <v>207</v>
      </c>
      <c r="D25" t="s">
        <v>370</v>
      </c>
      <c r="E25" s="179">
        <f>PL_MODEL!E6</f>
        <v>2760.4802078256384</v>
      </c>
    </row>
    <row r="26" spans="1:5" x14ac:dyDescent="0.2">
      <c r="A26" s="178">
        <v>2023</v>
      </c>
      <c r="B26" t="s">
        <v>369</v>
      </c>
      <c r="C26" t="s">
        <v>207</v>
      </c>
      <c r="D26" t="s">
        <v>370</v>
      </c>
      <c r="E26" s="179">
        <f>PL_MODEL!F6</f>
        <v>4388.3592382552697</v>
      </c>
    </row>
    <row r="27" spans="1:5" x14ac:dyDescent="0.2">
      <c r="A27" s="178">
        <v>2024</v>
      </c>
      <c r="B27" t="s">
        <v>369</v>
      </c>
      <c r="C27" t="s">
        <v>207</v>
      </c>
      <c r="D27" t="s">
        <v>370</v>
      </c>
      <c r="E27" s="179">
        <f>PL_MODEL!G6</f>
        <v>4754.0591787439589</v>
      </c>
    </row>
    <row r="28" spans="1:5" x14ac:dyDescent="0.2">
      <c r="A28" s="178">
        <v>2025</v>
      </c>
      <c r="B28" t="s">
        <v>369</v>
      </c>
      <c r="C28" t="s">
        <v>207</v>
      </c>
      <c r="D28" t="s">
        <v>370</v>
      </c>
      <c r="E28" s="179">
        <f>PL_MODEL!H6</f>
        <v>4484.7860000000001</v>
      </c>
    </row>
    <row r="29" spans="1:5" x14ac:dyDescent="0.2">
      <c r="A29" s="178">
        <v>2026</v>
      </c>
      <c r="B29" t="s">
        <v>369</v>
      </c>
      <c r="C29" t="s">
        <v>207</v>
      </c>
      <c r="D29" t="s">
        <v>370</v>
      </c>
      <c r="E29" s="179">
        <f>PL_MODEL!I6</f>
        <v>4376.3034374999988</v>
      </c>
    </row>
    <row r="30" spans="1:5" x14ac:dyDescent="0.2">
      <c r="A30" s="178">
        <v>2027</v>
      </c>
      <c r="B30" t="s">
        <v>369</v>
      </c>
      <c r="C30" t="s">
        <v>207</v>
      </c>
      <c r="D30" t="s">
        <v>370</v>
      </c>
      <c r="E30" s="179">
        <f>PL_MODEL!J6</f>
        <v>4529.4740578125011</v>
      </c>
    </row>
    <row r="31" spans="1:5" x14ac:dyDescent="0.2">
      <c r="A31" s="178">
        <v>2028</v>
      </c>
      <c r="B31" t="s">
        <v>369</v>
      </c>
      <c r="C31" t="s">
        <v>207</v>
      </c>
      <c r="D31" t="s">
        <v>370</v>
      </c>
      <c r="E31" s="179">
        <f>PL_MODEL!K6</f>
        <v>4688.0056498359372</v>
      </c>
    </row>
    <row r="32" spans="1:5" x14ac:dyDescent="0.2">
      <c r="A32" s="178">
        <v>2019</v>
      </c>
      <c r="B32" t="s">
        <v>369</v>
      </c>
      <c r="C32" t="s">
        <v>56</v>
      </c>
      <c r="D32" t="s">
        <v>370</v>
      </c>
      <c r="E32" s="179">
        <f>PL_MODEL!B7</f>
        <v>502.74339818219124</v>
      </c>
    </row>
    <row r="33" spans="1:5" x14ac:dyDescent="0.2">
      <c r="A33" s="178">
        <v>2020</v>
      </c>
      <c r="B33" t="s">
        <v>369</v>
      </c>
      <c r="C33" t="s">
        <v>56</v>
      </c>
      <c r="D33" t="s">
        <v>370</v>
      </c>
      <c r="E33" s="179">
        <f>PL_MODEL!C7</f>
        <v>520.33941711856789</v>
      </c>
    </row>
    <row r="34" spans="1:5" x14ac:dyDescent="0.2">
      <c r="A34" s="178">
        <v>2021</v>
      </c>
      <c r="B34" t="s">
        <v>369</v>
      </c>
      <c r="C34" t="s">
        <v>56</v>
      </c>
      <c r="D34" t="s">
        <v>370</v>
      </c>
      <c r="E34" s="179">
        <f>PL_MODEL!D7</f>
        <v>538.55129671771783</v>
      </c>
    </row>
    <row r="35" spans="1:5" x14ac:dyDescent="0.2">
      <c r="A35" s="178">
        <v>2022</v>
      </c>
      <c r="B35" t="s">
        <v>369</v>
      </c>
      <c r="C35" t="s">
        <v>56</v>
      </c>
      <c r="D35" t="s">
        <v>370</v>
      </c>
      <c r="E35" s="179">
        <f>PL_MODEL!E7</f>
        <v>557.40059210283789</v>
      </c>
    </row>
    <row r="36" spans="1:5" x14ac:dyDescent="0.2">
      <c r="A36" s="178">
        <v>2023</v>
      </c>
      <c r="B36" t="s">
        <v>369</v>
      </c>
      <c r="C36" t="s">
        <v>56</v>
      </c>
      <c r="D36" t="s">
        <v>370</v>
      </c>
      <c r="E36" s="179">
        <f>PL_MODEL!F7</f>
        <v>576.90961282643707</v>
      </c>
    </row>
    <row r="37" spans="1:5" x14ac:dyDescent="0.2">
      <c r="A37" s="178">
        <v>2024</v>
      </c>
      <c r="B37" t="s">
        <v>369</v>
      </c>
      <c r="C37" t="s">
        <v>56</v>
      </c>
      <c r="D37" t="s">
        <v>370</v>
      </c>
      <c r="E37" s="179">
        <f>PL_MODEL!G7</f>
        <v>597.10144927536237</v>
      </c>
    </row>
    <row r="38" spans="1:5" x14ac:dyDescent="0.2">
      <c r="A38" s="178">
        <v>2025</v>
      </c>
      <c r="B38" t="s">
        <v>369</v>
      </c>
      <c r="C38" t="s">
        <v>56</v>
      </c>
      <c r="D38" t="s">
        <v>370</v>
      </c>
      <c r="E38" s="179">
        <f>PL_MODEL!H7</f>
        <v>618</v>
      </c>
    </row>
    <row r="39" spans="1:5" x14ac:dyDescent="0.2">
      <c r="A39" s="178">
        <v>2026</v>
      </c>
      <c r="B39" t="s">
        <v>369</v>
      </c>
      <c r="C39" t="s">
        <v>56</v>
      </c>
      <c r="D39" t="s">
        <v>370</v>
      </c>
      <c r="E39" s="179">
        <f>PL_MODEL!I7</f>
        <v>639.63</v>
      </c>
    </row>
    <row r="40" spans="1:5" x14ac:dyDescent="0.2">
      <c r="A40" s="178">
        <v>2027</v>
      </c>
      <c r="B40" t="s">
        <v>369</v>
      </c>
      <c r="C40" t="s">
        <v>56</v>
      </c>
      <c r="D40" t="s">
        <v>370</v>
      </c>
      <c r="E40" s="179">
        <f>PL_MODEL!J7</f>
        <v>662.01705000000004</v>
      </c>
    </row>
    <row r="41" spans="1:5" x14ac:dyDescent="0.2">
      <c r="A41" s="178">
        <v>2028</v>
      </c>
      <c r="B41" t="s">
        <v>369</v>
      </c>
      <c r="C41" t="s">
        <v>56</v>
      </c>
      <c r="D41" t="s">
        <v>370</v>
      </c>
      <c r="E41" s="179">
        <f>PL_MODEL!K7</f>
        <v>685.18764675</v>
      </c>
    </row>
    <row r="42" spans="1:5" x14ac:dyDescent="0.2">
      <c r="A42" s="178">
        <v>2019</v>
      </c>
      <c r="B42" t="s">
        <v>369</v>
      </c>
      <c r="C42" t="s">
        <v>57</v>
      </c>
      <c r="D42" t="s">
        <v>370</v>
      </c>
      <c r="E42" s="179">
        <f>PL_MODEL!B8</f>
        <v>109.80885915817392</v>
      </c>
    </row>
    <row r="43" spans="1:5" x14ac:dyDescent="0.2">
      <c r="A43" s="178">
        <v>2020</v>
      </c>
      <c r="B43" t="s">
        <v>369</v>
      </c>
      <c r="C43" t="s">
        <v>57</v>
      </c>
      <c r="D43" t="s">
        <v>370</v>
      </c>
      <c r="E43" s="179">
        <f>PL_MODEL!C8</f>
        <v>102.47957997941936</v>
      </c>
    </row>
    <row r="44" spans="1:5" x14ac:dyDescent="0.2">
      <c r="A44" s="178">
        <v>2021</v>
      </c>
      <c r="B44" t="s">
        <v>369</v>
      </c>
      <c r="C44" t="s">
        <v>57</v>
      </c>
      <c r="D44" t="s">
        <v>370</v>
      </c>
      <c r="E44" s="179">
        <f>PL_MODEL!D8</f>
        <v>103.32809772476892</v>
      </c>
    </row>
    <row r="45" spans="1:5" x14ac:dyDescent="0.2">
      <c r="A45" s="178">
        <v>2022</v>
      </c>
      <c r="B45" t="s">
        <v>369</v>
      </c>
      <c r="C45" t="s">
        <v>57</v>
      </c>
      <c r="D45" t="s">
        <v>370</v>
      </c>
      <c r="E45" s="179">
        <f>PL_MODEL!E8</f>
        <v>138.02401039128193</v>
      </c>
    </row>
    <row r="46" spans="1:5" x14ac:dyDescent="0.2">
      <c r="A46" s="178">
        <v>2023</v>
      </c>
      <c r="B46" t="s">
        <v>369</v>
      </c>
      <c r="C46" t="s">
        <v>57</v>
      </c>
      <c r="D46" t="s">
        <v>370</v>
      </c>
      <c r="E46" s="179">
        <f>PL_MODEL!F8</f>
        <v>219.4179619127635</v>
      </c>
    </row>
    <row r="47" spans="1:5" x14ac:dyDescent="0.2">
      <c r="A47" s="178">
        <v>2024</v>
      </c>
      <c r="B47" t="s">
        <v>369</v>
      </c>
      <c r="C47" t="s">
        <v>57</v>
      </c>
      <c r="D47" t="s">
        <v>370</v>
      </c>
      <c r="E47" s="179">
        <f>PL_MODEL!G8</f>
        <v>237.70295893719796</v>
      </c>
    </row>
    <row r="48" spans="1:5" x14ac:dyDescent="0.2">
      <c r="A48" s="178">
        <v>2025</v>
      </c>
      <c r="B48" t="s">
        <v>369</v>
      </c>
      <c r="C48" t="s">
        <v>57</v>
      </c>
      <c r="D48" t="s">
        <v>370</v>
      </c>
      <c r="E48" s="179">
        <f>PL_MODEL!H8</f>
        <v>224.23930000000001</v>
      </c>
    </row>
    <row r="49" spans="1:5" x14ac:dyDescent="0.2">
      <c r="A49" s="178">
        <v>2026</v>
      </c>
      <c r="B49" t="s">
        <v>369</v>
      </c>
      <c r="C49" t="s">
        <v>57</v>
      </c>
      <c r="D49" t="s">
        <v>370</v>
      </c>
      <c r="E49" s="179">
        <f>PL_MODEL!I8</f>
        <v>218.81517187499995</v>
      </c>
    </row>
    <row r="50" spans="1:5" x14ac:dyDescent="0.2">
      <c r="A50" s="178">
        <v>2027</v>
      </c>
      <c r="B50" t="s">
        <v>369</v>
      </c>
      <c r="C50" t="s">
        <v>57</v>
      </c>
      <c r="D50" t="s">
        <v>370</v>
      </c>
      <c r="E50" s="179">
        <f>PL_MODEL!J8</f>
        <v>226.47370289062508</v>
      </c>
    </row>
    <row r="51" spans="1:5" x14ac:dyDescent="0.2">
      <c r="A51" s="178">
        <v>2028</v>
      </c>
      <c r="B51" t="s">
        <v>369</v>
      </c>
      <c r="C51" t="s">
        <v>57</v>
      </c>
      <c r="D51" t="s">
        <v>370</v>
      </c>
      <c r="E51" s="179">
        <f>PL_MODEL!K8</f>
        <v>234.40028249179687</v>
      </c>
    </row>
    <row r="52" spans="1:5" x14ac:dyDescent="0.2">
      <c r="A52" s="178">
        <v>2019</v>
      </c>
      <c r="B52" t="s">
        <v>369</v>
      </c>
      <c r="C52" t="s">
        <v>58</v>
      </c>
      <c r="D52" t="s">
        <v>370</v>
      </c>
      <c r="E52" s="179">
        <f>PL_MODEL!B9</f>
        <v>612.55225734036514</v>
      </c>
    </row>
    <row r="53" spans="1:5" x14ac:dyDescent="0.2">
      <c r="A53" s="178">
        <v>2020</v>
      </c>
      <c r="B53" t="s">
        <v>369</v>
      </c>
      <c r="C53" t="s">
        <v>58</v>
      </c>
      <c r="D53" t="s">
        <v>370</v>
      </c>
      <c r="E53" s="179">
        <f>PL_MODEL!C9</f>
        <v>622.81899709798722</v>
      </c>
    </row>
    <row r="54" spans="1:5" x14ac:dyDescent="0.2">
      <c r="A54" s="178">
        <v>2021</v>
      </c>
      <c r="B54" t="s">
        <v>369</v>
      </c>
      <c r="C54" t="s">
        <v>58</v>
      </c>
      <c r="D54" t="s">
        <v>370</v>
      </c>
      <c r="E54" s="179">
        <f>PL_MODEL!D9</f>
        <v>641.87939444248673</v>
      </c>
    </row>
    <row r="55" spans="1:5" x14ac:dyDescent="0.2">
      <c r="A55" s="178">
        <v>2022</v>
      </c>
      <c r="B55" t="s">
        <v>369</v>
      </c>
      <c r="C55" t="s">
        <v>58</v>
      </c>
      <c r="D55" t="s">
        <v>370</v>
      </c>
      <c r="E55" s="179">
        <f>PL_MODEL!E9</f>
        <v>695.42460249411988</v>
      </c>
    </row>
    <row r="56" spans="1:5" x14ac:dyDescent="0.2">
      <c r="A56" s="178">
        <v>2023</v>
      </c>
      <c r="B56" t="s">
        <v>369</v>
      </c>
      <c r="C56" t="s">
        <v>58</v>
      </c>
      <c r="D56" t="s">
        <v>370</v>
      </c>
      <c r="E56" s="179">
        <f>PL_MODEL!F9</f>
        <v>796.3275747392006</v>
      </c>
    </row>
    <row r="57" spans="1:5" x14ac:dyDescent="0.2">
      <c r="A57" s="178">
        <v>2024</v>
      </c>
      <c r="B57" t="s">
        <v>369</v>
      </c>
      <c r="C57" t="s">
        <v>58</v>
      </c>
      <c r="D57" t="s">
        <v>370</v>
      </c>
      <c r="E57" s="179">
        <f>PL_MODEL!G9</f>
        <v>834.80440821256036</v>
      </c>
    </row>
    <row r="58" spans="1:5" x14ac:dyDescent="0.2">
      <c r="A58" s="178">
        <v>2025</v>
      </c>
      <c r="B58" t="s">
        <v>369</v>
      </c>
      <c r="C58" t="s">
        <v>58</v>
      </c>
      <c r="D58" t="s">
        <v>370</v>
      </c>
      <c r="E58" s="179">
        <f>PL_MODEL!H9</f>
        <v>842.23929999999996</v>
      </c>
    </row>
    <row r="59" spans="1:5" x14ac:dyDescent="0.2">
      <c r="A59" s="178">
        <v>2026</v>
      </c>
      <c r="B59" t="s">
        <v>369</v>
      </c>
      <c r="C59" t="s">
        <v>58</v>
      </c>
      <c r="D59" t="s">
        <v>370</v>
      </c>
      <c r="E59" s="179">
        <f>PL_MODEL!I9</f>
        <v>858.44517187499991</v>
      </c>
    </row>
    <row r="60" spans="1:5" x14ac:dyDescent="0.2">
      <c r="A60" s="178">
        <v>2027</v>
      </c>
      <c r="B60" t="s">
        <v>369</v>
      </c>
      <c r="C60" t="s">
        <v>58</v>
      </c>
      <c r="D60" t="s">
        <v>370</v>
      </c>
      <c r="E60" s="179">
        <f>PL_MODEL!J9</f>
        <v>888.49075289062512</v>
      </c>
    </row>
    <row r="61" spans="1:5" x14ac:dyDescent="0.2">
      <c r="A61" s="178">
        <v>2028</v>
      </c>
      <c r="B61" t="s">
        <v>369</v>
      </c>
      <c r="C61" t="s">
        <v>58</v>
      </c>
      <c r="D61" t="s">
        <v>370</v>
      </c>
      <c r="E61" s="179">
        <f>PL_MODEL!K9</f>
        <v>919.58792924179693</v>
      </c>
    </row>
    <row r="62" spans="1:5" x14ac:dyDescent="0.2">
      <c r="A62" s="178">
        <v>2019</v>
      </c>
      <c r="B62" t="s">
        <v>369</v>
      </c>
      <c r="C62" t="s">
        <v>59</v>
      </c>
      <c r="D62" t="s">
        <v>370</v>
      </c>
      <c r="E62" s="179">
        <f>PL_MODEL!B10</f>
        <v>2808.7294405038433</v>
      </c>
    </row>
    <row r="63" spans="1:5" x14ac:dyDescent="0.2">
      <c r="A63" s="178">
        <v>2020</v>
      </c>
      <c r="B63" t="s">
        <v>369</v>
      </c>
      <c r="C63" t="s">
        <v>59</v>
      </c>
      <c r="D63" t="s">
        <v>370</v>
      </c>
      <c r="E63" s="179">
        <f>PL_MODEL!C10</f>
        <v>2672.4105966863744</v>
      </c>
    </row>
    <row r="64" spans="1:5" x14ac:dyDescent="0.2">
      <c r="A64" s="178">
        <v>2021</v>
      </c>
      <c r="B64" t="s">
        <v>369</v>
      </c>
      <c r="C64" t="s">
        <v>59</v>
      </c>
      <c r="D64" t="s">
        <v>370</v>
      </c>
      <c r="E64" s="179">
        <f>PL_MODEL!D10</f>
        <v>2708.4413489378649</v>
      </c>
    </row>
    <row r="65" spans="1:5" x14ac:dyDescent="0.2">
      <c r="A65" s="178">
        <v>2022</v>
      </c>
      <c r="B65" t="s">
        <v>369</v>
      </c>
      <c r="C65" t="s">
        <v>59</v>
      </c>
      <c r="D65" t="s">
        <v>370</v>
      </c>
      <c r="E65" s="179">
        <f>PL_MODEL!E10</f>
        <v>3455.9048103197583</v>
      </c>
    </row>
    <row r="66" spans="1:5" x14ac:dyDescent="0.2">
      <c r="A66" s="178">
        <v>2023</v>
      </c>
      <c r="B66" t="s">
        <v>369</v>
      </c>
      <c r="C66" t="s">
        <v>59</v>
      </c>
      <c r="D66" t="s">
        <v>370</v>
      </c>
      <c r="E66" s="179">
        <f>PL_MODEL!F10</f>
        <v>5184.6868129944705</v>
      </c>
    </row>
    <row r="67" spans="1:5" x14ac:dyDescent="0.2">
      <c r="A67" s="178">
        <v>2024</v>
      </c>
      <c r="B67" t="s">
        <v>369</v>
      </c>
      <c r="C67" t="s">
        <v>59</v>
      </c>
      <c r="D67" t="s">
        <v>370</v>
      </c>
      <c r="E67" s="179">
        <f>PL_MODEL!G10</f>
        <v>5588.8635869565196</v>
      </c>
    </row>
    <row r="68" spans="1:5" x14ac:dyDescent="0.2">
      <c r="A68" s="178">
        <v>2025</v>
      </c>
      <c r="B68" t="s">
        <v>369</v>
      </c>
      <c r="C68" t="s">
        <v>59</v>
      </c>
      <c r="D68" t="s">
        <v>370</v>
      </c>
      <c r="E68" s="179">
        <f>PL_MODEL!H10</f>
        <v>5327.0253000000002</v>
      </c>
    </row>
    <row r="69" spans="1:5" x14ac:dyDescent="0.2">
      <c r="A69" s="178">
        <v>2026</v>
      </c>
      <c r="B69" t="s">
        <v>369</v>
      </c>
      <c r="C69" t="s">
        <v>59</v>
      </c>
      <c r="D69" t="s">
        <v>370</v>
      </c>
      <c r="E69" s="179">
        <f>PL_MODEL!I10</f>
        <v>5234.7486093749985</v>
      </c>
    </row>
    <row r="70" spans="1:5" x14ac:dyDescent="0.2">
      <c r="A70" s="178">
        <v>2027</v>
      </c>
      <c r="B70" t="s">
        <v>369</v>
      </c>
      <c r="C70" t="s">
        <v>59</v>
      </c>
      <c r="D70" t="s">
        <v>370</v>
      </c>
      <c r="E70" s="179">
        <f>PL_MODEL!J10</f>
        <v>5417.9648107031262</v>
      </c>
    </row>
    <row r="71" spans="1:5" x14ac:dyDescent="0.2">
      <c r="A71" s="178">
        <v>2028</v>
      </c>
      <c r="B71" t="s">
        <v>369</v>
      </c>
      <c r="C71" t="s">
        <v>59</v>
      </c>
      <c r="D71" t="s">
        <v>370</v>
      </c>
      <c r="E71" s="179">
        <f>PL_MODEL!K10</f>
        <v>5607.5935790777339</v>
      </c>
    </row>
    <row r="72" spans="1:5" x14ac:dyDescent="0.2">
      <c r="A72" s="178">
        <v>2019</v>
      </c>
      <c r="B72" t="s">
        <v>369</v>
      </c>
      <c r="C72" t="s">
        <v>61</v>
      </c>
      <c r="D72" t="s">
        <v>370</v>
      </c>
      <c r="E72" s="179">
        <f>PL_MODEL!B12</f>
        <v>983.05530417634509</v>
      </c>
    </row>
    <row r="73" spans="1:5" x14ac:dyDescent="0.2">
      <c r="A73" s="178">
        <v>2020</v>
      </c>
      <c r="B73" t="s">
        <v>369</v>
      </c>
      <c r="C73" t="s">
        <v>61</v>
      </c>
      <c r="D73" t="s">
        <v>370</v>
      </c>
      <c r="E73" s="179">
        <f>PL_MODEL!C12</f>
        <v>1012.5469633016355</v>
      </c>
    </row>
    <row r="74" spans="1:5" x14ac:dyDescent="0.2">
      <c r="A74" s="178">
        <v>2021</v>
      </c>
      <c r="B74" t="s">
        <v>369</v>
      </c>
      <c r="C74" t="s">
        <v>61</v>
      </c>
      <c r="D74" t="s">
        <v>370</v>
      </c>
      <c r="E74" s="179">
        <f>PL_MODEL!D12</f>
        <v>1042.9233722006845</v>
      </c>
    </row>
    <row r="75" spans="1:5" x14ac:dyDescent="0.2">
      <c r="A75" s="178">
        <v>2022</v>
      </c>
      <c r="B75" t="s">
        <v>369</v>
      </c>
      <c r="C75" t="s">
        <v>61</v>
      </c>
      <c r="D75" t="s">
        <v>370</v>
      </c>
      <c r="E75" s="179">
        <f>PL_MODEL!E12</f>
        <v>1074.211073366705</v>
      </c>
    </row>
    <row r="76" spans="1:5" x14ac:dyDescent="0.2">
      <c r="A76" s="178">
        <v>2023</v>
      </c>
      <c r="B76" t="s">
        <v>369</v>
      </c>
      <c r="C76" t="s">
        <v>61</v>
      </c>
      <c r="D76" t="s">
        <v>370</v>
      </c>
      <c r="E76" s="179">
        <f>PL_MODEL!F12</f>
        <v>1106.4374055677063</v>
      </c>
    </row>
    <row r="77" spans="1:5" x14ac:dyDescent="0.2">
      <c r="A77" s="178">
        <v>2024</v>
      </c>
      <c r="B77" t="s">
        <v>369</v>
      </c>
      <c r="C77" t="s">
        <v>61</v>
      </c>
      <c r="D77" t="s">
        <v>370</v>
      </c>
      <c r="E77" s="179">
        <f>PL_MODEL!G12</f>
        <v>1139.6305277347374</v>
      </c>
    </row>
    <row r="78" spans="1:5" x14ac:dyDescent="0.2">
      <c r="A78" s="178">
        <v>2025</v>
      </c>
      <c r="B78" t="s">
        <v>369</v>
      </c>
      <c r="C78" t="s">
        <v>61</v>
      </c>
      <c r="D78" t="s">
        <v>370</v>
      </c>
      <c r="E78" s="179">
        <f>PL_MODEL!H12</f>
        <v>1173.8194435667795</v>
      </c>
    </row>
    <row r="79" spans="1:5" x14ac:dyDescent="0.2">
      <c r="A79" s="178">
        <v>2026</v>
      </c>
      <c r="B79" t="s">
        <v>369</v>
      </c>
      <c r="C79" t="s">
        <v>61</v>
      </c>
      <c r="D79" t="s">
        <v>370</v>
      </c>
      <c r="E79" s="179">
        <f>PL_MODEL!I12</f>
        <v>1209.034026873783</v>
      </c>
    </row>
    <row r="80" spans="1:5" x14ac:dyDescent="0.2">
      <c r="A80" s="178">
        <v>2027</v>
      </c>
      <c r="B80" t="s">
        <v>369</v>
      </c>
      <c r="C80" t="s">
        <v>61</v>
      </c>
      <c r="D80" t="s">
        <v>370</v>
      </c>
      <c r="E80" s="179">
        <f>PL_MODEL!J12</f>
        <v>1245.3050476799965</v>
      </c>
    </row>
    <row r="81" spans="1:5" x14ac:dyDescent="0.2">
      <c r="A81" s="178">
        <v>2028</v>
      </c>
      <c r="B81" t="s">
        <v>369</v>
      </c>
      <c r="C81" t="s">
        <v>61</v>
      </c>
      <c r="D81" t="s">
        <v>370</v>
      </c>
      <c r="E81" s="179">
        <f>PL_MODEL!K12</f>
        <v>1282.6641991103963</v>
      </c>
    </row>
    <row r="82" spans="1:5" x14ac:dyDescent="0.2">
      <c r="A82" s="178">
        <v>2019</v>
      </c>
      <c r="B82" t="s">
        <v>369</v>
      </c>
      <c r="C82" t="s">
        <v>62</v>
      </c>
      <c r="D82" t="s">
        <v>370</v>
      </c>
      <c r="E82" s="179">
        <f>PL_MODEL!B13</f>
        <v>337.04753286046116</v>
      </c>
    </row>
    <row r="83" spans="1:5" x14ac:dyDescent="0.2">
      <c r="A83" s="178">
        <v>2020</v>
      </c>
      <c r="B83" t="s">
        <v>369</v>
      </c>
      <c r="C83" t="s">
        <v>62</v>
      </c>
      <c r="D83" t="s">
        <v>370</v>
      </c>
      <c r="E83" s="179">
        <f>PL_MODEL!C13</f>
        <v>347.15895884627503</v>
      </c>
    </row>
    <row r="84" spans="1:5" x14ac:dyDescent="0.2">
      <c r="A84" s="178">
        <v>2021</v>
      </c>
      <c r="B84" t="s">
        <v>369</v>
      </c>
      <c r="C84" t="s">
        <v>62</v>
      </c>
      <c r="D84" t="s">
        <v>370</v>
      </c>
      <c r="E84" s="179">
        <f>PL_MODEL!D13</f>
        <v>357.57372761166329</v>
      </c>
    </row>
    <row r="85" spans="1:5" x14ac:dyDescent="0.2">
      <c r="A85" s="178">
        <v>2022</v>
      </c>
      <c r="B85" t="s">
        <v>369</v>
      </c>
      <c r="C85" t="s">
        <v>62</v>
      </c>
      <c r="D85" t="s">
        <v>370</v>
      </c>
      <c r="E85" s="179">
        <f>PL_MODEL!E13</f>
        <v>368.30093944001317</v>
      </c>
    </row>
    <row r="86" spans="1:5" x14ac:dyDescent="0.2">
      <c r="A86" s="178">
        <v>2023</v>
      </c>
      <c r="B86" t="s">
        <v>369</v>
      </c>
      <c r="C86" t="s">
        <v>62</v>
      </c>
      <c r="D86" t="s">
        <v>370</v>
      </c>
      <c r="E86" s="179">
        <f>PL_MODEL!F13</f>
        <v>379.34996762321356</v>
      </c>
    </row>
    <row r="87" spans="1:5" x14ac:dyDescent="0.2">
      <c r="A87" s="178">
        <v>2024</v>
      </c>
      <c r="B87" t="s">
        <v>369</v>
      </c>
      <c r="C87" t="s">
        <v>62</v>
      </c>
      <c r="D87" t="s">
        <v>370</v>
      </c>
      <c r="E87" s="179">
        <f>PL_MODEL!G13</f>
        <v>390.73046665190998</v>
      </c>
    </row>
    <row r="88" spans="1:5" x14ac:dyDescent="0.2">
      <c r="A88" s="178">
        <v>2025</v>
      </c>
      <c r="B88" t="s">
        <v>369</v>
      </c>
      <c r="C88" t="s">
        <v>62</v>
      </c>
      <c r="D88" t="s">
        <v>370</v>
      </c>
      <c r="E88" s="179">
        <f>PL_MODEL!H13</f>
        <v>402.45238065146731</v>
      </c>
    </row>
    <row r="89" spans="1:5" x14ac:dyDescent="0.2">
      <c r="A89" s="178">
        <v>2026</v>
      </c>
      <c r="B89" t="s">
        <v>369</v>
      </c>
      <c r="C89" t="s">
        <v>62</v>
      </c>
      <c r="D89" t="s">
        <v>370</v>
      </c>
      <c r="E89" s="179">
        <f>PL_MODEL!I13</f>
        <v>414.52595207101132</v>
      </c>
    </row>
    <row r="90" spans="1:5" x14ac:dyDescent="0.2">
      <c r="A90" s="178">
        <v>2027</v>
      </c>
      <c r="B90" t="s">
        <v>369</v>
      </c>
      <c r="C90" t="s">
        <v>62</v>
      </c>
      <c r="D90" t="s">
        <v>370</v>
      </c>
      <c r="E90" s="179">
        <f>PL_MODEL!J13</f>
        <v>426.96173063314166</v>
      </c>
    </row>
    <row r="91" spans="1:5" x14ac:dyDescent="0.2">
      <c r="A91" s="178">
        <v>2028</v>
      </c>
      <c r="B91" t="s">
        <v>369</v>
      </c>
      <c r="C91" t="s">
        <v>62</v>
      </c>
      <c r="D91" t="s">
        <v>370</v>
      </c>
      <c r="E91" s="179">
        <f>PL_MODEL!K13</f>
        <v>439.77058255213592</v>
      </c>
    </row>
    <row r="92" spans="1:5" x14ac:dyDescent="0.2">
      <c r="A92" s="178">
        <v>2019</v>
      </c>
      <c r="B92" t="s">
        <v>369</v>
      </c>
      <c r="C92" t="s">
        <v>63</v>
      </c>
      <c r="D92" t="s">
        <v>370</v>
      </c>
      <c r="E92" s="179">
        <f>PL_MODEL!B14</f>
        <v>224.69835524030748</v>
      </c>
    </row>
    <row r="93" spans="1:5" x14ac:dyDescent="0.2">
      <c r="A93" s="178">
        <v>2020</v>
      </c>
      <c r="B93" t="s">
        <v>369</v>
      </c>
      <c r="C93" t="s">
        <v>63</v>
      </c>
      <c r="D93" t="s">
        <v>370</v>
      </c>
      <c r="E93" s="179">
        <f>PL_MODEL!C14</f>
        <v>231.4393058975167</v>
      </c>
    </row>
    <row r="94" spans="1:5" x14ac:dyDescent="0.2">
      <c r="A94" s="178">
        <v>2021</v>
      </c>
      <c r="B94" t="s">
        <v>369</v>
      </c>
      <c r="C94" t="s">
        <v>63</v>
      </c>
      <c r="D94" t="s">
        <v>370</v>
      </c>
      <c r="E94" s="179">
        <f>PL_MODEL!D14</f>
        <v>238.3824850744422</v>
      </c>
    </row>
    <row r="95" spans="1:5" x14ac:dyDescent="0.2">
      <c r="A95" s="178">
        <v>2022</v>
      </c>
      <c r="B95" t="s">
        <v>369</v>
      </c>
      <c r="C95" t="s">
        <v>63</v>
      </c>
      <c r="D95" t="s">
        <v>370</v>
      </c>
      <c r="E95" s="179">
        <f>PL_MODEL!E14</f>
        <v>245.53395962667548</v>
      </c>
    </row>
    <row r="96" spans="1:5" x14ac:dyDescent="0.2">
      <c r="A96" s="178">
        <v>2023</v>
      </c>
      <c r="B96" t="s">
        <v>369</v>
      </c>
      <c r="C96" t="s">
        <v>63</v>
      </c>
      <c r="D96" t="s">
        <v>370</v>
      </c>
      <c r="E96" s="179">
        <f>PL_MODEL!F14</f>
        <v>252.89997841547574</v>
      </c>
    </row>
    <row r="97" spans="1:5" x14ac:dyDescent="0.2">
      <c r="A97" s="178">
        <v>2024</v>
      </c>
      <c r="B97" t="s">
        <v>369</v>
      </c>
      <c r="C97" t="s">
        <v>63</v>
      </c>
      <c r="D97" t="s">
        <v>370</v>
      </c>
      <c r="E97" s="179">
        <f>PL_MODEL!G14</f>
        <v>260.48697776794</v>
      </c>
    </row>
    <row r="98" spans="1:5" x14ac:dyDescent="0.2">
      <c r="A98" s="178">
        <v>2025</v>
      </c>
      <c r="B98" t="s">
        <v>369</v>
      </c>
      <c r="C98" t="s">
        <v>63</v>
      </c>
      <c r="D98" t="s">
        <v>370</v>
      </c>
      <c r="E98" s="179">
        <f>PL_MODEL!H14</f>
        <v>268.30158710097822</v>
      </c>
    </row>
    <row r="99" spans="1:5" x14ac:dyDescent="0.2">
      <c r="A99" s="178">
        <v>2026</v>
      </c>
      <c r="B99" t="s">
        <v>369</v>
      </c>
      <c r="C99" t="s">
        <v>63</v>
      </c>
      <c r="D99" t="s">
        <v>370</v>
      </c>
      <c r="E99" s="179">
        <f>PL_MODEL!I14</f>
        <v>276.35063471400758</v>
      </c>
    </row>
    <row r="100" spans="1:5" x14ac:dyDescent="0.2">
      <c r="A100" s="178">
        <v>2027</v>
      </c>
      <c r="B100" t="s">
        <v>369</v>
      </c>
      <c r="C100" t="s">
        <v>63</v>
      </c>
      <c r="D100" t="s">
        <v>370</v>
      </c>
      <c r="E100" s="179">
        <f>PL_MODEL!J14</f>
        <v>284.64115375542781</v>
      </c>
    </row>
    <row r="101" spans="1:5" x14ac:dyDescent="0.2">
      <c r="A101" s="178">
        <v>2028</v>
      </c>
      <c r="B101" t="s">
        <v>369</v>
      </c>
      <c r="C101" t="s">
        <v>63</v>
      </c>
      <c r="D101" t="s">
        <v>370</v>
      </c>
      <c r="E101" s="179">
        <f>PL_MODEL!K14</f>
        <v>293.18038836809063</v>
      </c>
    </row>
    <row r="102" spans="1:5" x14ac:dyDescent="0.2">
      <c r="A102" s="178">
        <v>2019</v>
      </c>
      <c r="B102" t="s">
        <v>369</v>
      </c>
      <c r="C102" t="s">
        <v>64</v>
      </c>
      <c r="D102" t="s">
        <v>370</v>
      </c>
      <c r="E102" s="179">
        <f>PL_MODEL!B15</f>
        <v>140.43647202519216</v>
      </c>
    </row>
    <row r="103" spans="1:5" x14ac:dyDescent="0.2">
      <c r="A103" s="178">
        <v>2020</v>
      </c>
      <c r="B103" t="s">
        <v>369</v>
      </c>
      <c r="C103" t="s">
        <v>64</v>
      </c>
      <c r="D103" t="s">
        <v>370</v>
      </c>
      <c r="E103" s="179">
        <f>PL_MODEL!C15</f>
        <v>144.64956618594792</v>
      </c>
    </row>
    <row r="104" spans="1:5" x14ac:dyDescent="0.2">
      <c r="A104" s="178">
        <v>2021</v>
      </c>
      <c r="B104" t="s">
        <v>369</v>
      </c>
      <c r="C104" t="s">
        <v>64</v>
      </c>
      <c r="D104" t="s">
        <v>370</v>
      </c>
      <c r="E104" s="179">
        <f>PL_MODEL!D15</f>
        <v>148.98905317152636</v>
      </c>
    </row>
    <row r="105" spans="1:5" x14ac:dyDescent="0.2">
      <c r="A105" s="178">
        <v>2022</v>
      </c>
      <c r="B105" t="s">
        <v>369</v>
      </c>
      <c r="C105" t="s">
        <v>64</v>
      </c>
      <c r="D105" t="s">
        <v>370</v>
      </c>
      <c r="E105" s="179">
        <f>PL_MODEL!E15</f>
        <v>153.45872476667216</v>
      </c>
    </row>
    <row r="106" spans="1:5" x14ac:dyDescent="0.2">
      <c r="A106" s="178">
        <v>2023</v>
      </c>
      <c r="B106" t="s">
        <v>369</v>
      </c>
      <c r="C106" t="s">
        <v>64</v>
      </c>
      <c r="D106" t="s">
        <v>370</v>
      </c>
      <c r="E106" s="179">
        <f>PL_MODEL!F15</f>
        <v>158.06248650967234</v>
      </c>
    </row>
    <row r="107" spans="1:5" x14ac:dyDescent="0.2">
      <c r="A107" s="178">
        <v>2024</v>
      </c>
      <c r="B107" t="s">
        <v>369</v>
      </c>
      <c r="C107" t="s">
        <v>64</v>
      </c>
      <c r="D107" t="s">
        <v>370</v>
      </c>
      <c r="E107" s="179">
        <f>PL_MODEL!G15</f>
        <v>162.80436110496251</v>
      </c>
    </row>
    <row r="108" spans="1:5" x14ac:dyDescent="0.2">
      <c r="A108" s="178">
        <v>2025</v>
      </c>
      <c r="B108" t="s">
        <v>369</v>
      </c>
      <c r="C108" t="s">
        <v>64</v>
      </c>
      <c r="D108" t="s">
        <v>370</v>
      </c>
      <c r="E108" s="179">
        <f>PL_MODEL!H15</f>
        <v>167.68849193811138</v>
      </c>
    </row>
    <row r="109" spans="1:5" x14ac:dyDescent="0.2">
      <c r="A109" s="178">
        <v>2026</v>
      </c>
      <c r="B109" t="s">
        <v>369</v>
      </c>
      <c r="C109" t="s">
        <v>64</v>
      </c>
      <c r="D109" t="s">
        <v>370</v>
      </c>
      <c r="E109" s="179">
        <f>PL_MODEL!I15</f>
        <v>172.71914669625474</v>
      </c>
    </row>
    <row r="110" spans="1:5" x14ac:dyDescent="0.2">
      <c r="A110" s="178">
        <v>2027</v>
      </c>
      <c r="B110" t="s">
        <v>369</v>
      </c>
      <c r="C110" t="s">
        <v>64</v>
      </c>
      <c r="D110" t="s">
        <v>370</v>
      </c>
      <c r="E110" s="179">
        <f>PL_MODEL!J15</f>
        <v>177.90072109714239</v>
      </c>
    </row>
    <row r="111" spans="1:5" x14ac:dyDescent="0.2">
      <c r="A111" s="178">
        <v>2028</v>
      </c>
      <c r="B111" t="s">
        <v>369</v>
      </c>
      <c r="C111" t="s">
        <v>64</v>
      </c>
      <c r="D111" t="s">
        <v>370</v>
      </c>
      <c r="E111" s="179">
        <f>PL_MODEL!K15</f>
        <v>183.23774273005668</v>
      </c>
    </row>
    <row r="112" spans="1:5" x14ac:dyDescent="0.2">
      <c r="A112" s="178">
        <v>2019</v>
      </c>
      <c r="B112" t="s">
        <v>369</v>
      </c>
      <c r="C112" t="s">
        <v>65</v>
      </c>
      <c r="D112" t="s">
        <v>370</v>
      </c>
      <c r="E112" s="179">
        <f>PL_MODEL!B16</f>
        <v>1685.237664302306</v>
      </c>
    </row>
    <row r="113" spans="1:5" x14ac:dyDescent="0.2">
      <c r="A113" s="178">
        <v>2020</v>
      </c>
      <c r="B113" t="s">
        <v>369</v>
      </c>
      <c r="C113" t="s">
        <v>65</v>
      </c>
      <c r="D113" t="s">
        <v>370</v>
      </c>
      <c r="E113" s="179">
        <f>PL_MODEL!C16</f>
        <v>1735.7947942313751</v>
      </c>
    </row>
    <row r="114" spans="1:5" x14ac:dyDescent="0.2">
      <c r="A114" s="178">
        <v>2021</v>
      </c>
      <c r="B114" t="s">
        <v>369</v>
      </c>
      <c r="C114" t="s">
        <v>65</v>
      </c>
      <c r="D114" t="s">
        <v>370</v>
      </c>
      <c r="E114" s="179">
        <f>PL_MODEL!D16</f>
        <v>1787.8686380583165</v>
      </c>
    </row>
    <row r="115" spans="1:5" x14ac:dyDescent="0.2">
      <c r="A115" s="178">
        <v>2022</v>
      </c>
      <c r="B115" t="s">
        <v>369</v>
      </c>
      <c r="C115" t="s">
        <v>65</v>
      </c>
      <c r="D115" t="s">
        <v>370</v>
      </c>
      <c r="E115" s="179">
        <f>PL_MODEL!E16</f>
        <v>1841.5046972000659</v>
      </c>
    </row>
    <row r="116" spans="1:5" x14ac:dyDescent="0.2">
      <c r="A116" s="178">
        <v>2023</v>
      </c>
      <c r="B116" t="s">
        <v>369</v>
      </c>
      <c r="C116" t="s">
        <v>65</v>
      </c>
      <c r="D116" t="s">
        <v>370</v>
      </c>
      <c r="E116" s="179">
        <f>PL_MODEL!F16</f>
        <v>1896.7498381160681</v>
      </c>
    </row>
    <row r="117" spans="1:5" x14ac:dyDescent="0.2">
      <c r="A117" s="178">
        <v>2024</v>
      </c>
      <c r="B117" t="s">
        <v>369</v>
      </c>
      <c r="C117" t="s">
        <v>65</v>
      </c>
      <c r="D117" t="s">
        <v>370</v>
      </c>
      <c r="E117" s="179">
        <f>PL_MODEL!G16</f>
        <v>1953.6523332595498</v>
      </c>
    </row>
    <row r="118" spans="1:5" x14ac:dyDescent="0.2">
      <c r="A118" s="178">
        <v>2025</v>
      </c>
      <c r="B118" t="s">
        <v>369</v>
      </c>
      <c r="C118" t="s">
        <v>65</v>
      </c>
      <c r="D118" t="s">
        <v>370</v>
      </c>
      <c r="E118" s="179">
        <f>PL_MODEL!H16</f>
        <v>2012.2619032573364</v>
      </c>
    </row>
    <row r="119" spans="1:5" x14ac:dyDescent="0.2">
      <c r="A119" s="178">
        <v>2026</v>
      </c>
      <c r="B119" t="s">
        <v>369</v>
      </c>
      <c r="C119" t="s">
        <v>65</v>
      </c>
      <c r="D119" t="s">
        <v>370</v>
      </c>
      <c r="E119" s="179">
        <f>PL_MODEL!I16</f>
        <v>2072.6297603550565</v>
      </c>
    </row>
    <row r="120" spans="1:5" x14ac:dyDescent="0.2">
      <c r="A120" s="178">
        <v>2027</v>
      </c>
      <c r="B120" t="s">
        <v>369</v>
      </c>
      <c r="C120" t="s">
        <v>65</v>
      </c>
      <c r="D120" t="s">
        <v>370</v>
      </c>
      <c r="E120" s="179">
        <f>PL_MODEL!J16</f>
        <v>2134.8086531657082</v>
      </c>
    </row>
    <row r="121" spans="1:5" x14ac:dyDescent="0.2">
      <c r="A121" s="178">
        <v>2028</v>
      </c>
      <c r="B121" t="s">
        <v>369</v>
      </c>
      <c r="C121" t="s">
        <v>65</v>
      </c>
      <c r="D121" t="s">
        <v>370</v>
      </c>
      <c r="E121" s="179">
        <f>PL_MODEL!K16</f>
        <v>2198.8529127606798</v>
      </c>
    </row>
    <row r="122" spans="1:5" x14ac:dyDescent="0.2">
      <c r="A122" s="178">
        <v>2019</v>
      </c>
      <c r="B122" t="s">
        <v>369</v>
      </c>
      <c r="C122" t="s">
        <v>66</v>
      </c>
      <c r="D122" t="s">
        <v>370</v>
      </c>
      <c r="E122" s="179">
        <f>PL_MODEL!B17</f>
        <v>1123.4917762015373</v>
      </c>
    </row>
    <row r="123" spans="1:5" x14ac:dyDescent="0.2">
      <c r="A123" s="178">
        <v>2020</v>
      </c>
      <c r="B123" t="s">
        <v>369</v>
      </c>
      <c r="C123" t="s">
        <v>66</v>
      </c>
      <c r="D123" t="s">
        <v>370</v>
      </c>
      <c r="E123" s="179">
        <f>PL_MODEL!C17</f>
        <v>936.61580245499931</v>
      </c>
    </row>
    <row r="124" spans="1:5" x14ac:dyDescent="0.2">
      <c r="A124" s="178">
        <v>2021</v>
      </c>
      <c r="B124" t="s">
        <v>369</v>
      </c>
      <c r="C124" t="s">
        <v>66</v>
      </c>
      <c r="D124" t="s">
        <v>370</v>
      </c>
      <c r="E124" s="179">
        <f>PL_MODEL!D17</f>
        <v>920.57271087954837</v>
      </c>
    </row>
    <row r="125" spans="1:5" x14ac:dyDescent="0.2">
      <c r="A125" s="178">
        <v>2022</v>
      </c>
      <c r="B125" t="s">
        <v>369</v>
      </c>
      <c r="C125" t="s">
        <v>66</v>
      </c>
      <c r="D125" t="s">
        <v>370</v>
      </c>
      <c r="E125" s="179">
        <f>PL_MODEL!E17</f>
        <v>1614.4001131196924</v>
      </c>
    </row>
    <row r="126" spans="1:5" x14ac:dyDescent="0.2">
      <c r="A126" s="178">
        <v>2023</v>
      </c>
      <c r="B126" t="s">
        <v>369</v>
      </c>
      <c r="C126" t="s">
        <v>66</v>
      </c>
      <c r="D126" t="s">
        <v>370</v>
      </c>
      <c r="E126" s="179">
        <f>PL_MODEL!F17</f>
        <v>3287.9369748784025</v>
      </c>
    </row>
    <row r="127" spans="1:5" x14ac:dyDescent="0.2">
      <c r="A127" s="178">
        <v>2024</v>
      </c>
      <c r="B127" t="s">
        <v>369</v>
      </c>
      <c r="C127" t="s">
        <v>66</v>
      </c>
      <c r="D127" t="s">
        <v>370</v>
      </c>
      <c r="E127" s="179">
        <f>PL_MODEL!G17</f>
        <v>3635.2112536969698</v>
      </c>
    </row>
    <row r="128" spans="1:5" x14ac:dyDescent="0.2">
      <c r="A128" s="178">
        <v>2025</v>
      </c>
      <c r="B128" t="s">
        <v>369</v>
      </c>
      <c r="C128" t="s">
        <v>66</v>
      </c>
      <c r="D128" t="s">
        <v>370</v>
      </c>
      <c r="E128" s="179">
        <f>PL_MODEL!H17</f>
        <v>3314.7633967426636</v>
      </c>
    </row>
    <row r="129" spans="1:5" x14ac:dyDescent="0.2">
      <c r="A129" s="178">
        <v>2026</v>
      </c>
      <c r="B129" t="s">
        <v>369</v>
      </c>
      <c r="C129" t="s">
        <v>66</v>
      </c>
      <c r="D129" t="s">
        <v>370</v>
      </c>
      <c r="E129" s="179">
        <f>PL_MODEL!I17</f>
        <v>3162.118849019942</v>
      </c>
    </row>
    <row r="130" spans="1:5" x14ac:dyDescent="0.2">
      <c r="A130" s="178">
        <v>2027</v>
      </c>
      <c r="B130" t="s">
        <v>369</v>
      </c>
      <c r="C130" t="s">
        <v>66</v>
      </c>
      <c r="D130" t="s">
        <v>370</v>
      </c>
      <c r="E130" s="179">
        <f>PL_MODEL!J17</f>
        <v>3283.156157537418</v>
      </c>
    </row>
    <row r="131" spans="1:5" x14ac:dyDescent="0.2">
      <c r="A131" s="178">
        <v>2028</v>
      </c>
      <c r="B131" t="s">
        <v>369</v>
      </c>
      <c r="C131" t="s">
        <v>66</v>
      </c>
      <c r="D131" t="s">
        <v>370</v>
      </c>
      <c r="E131" s="179">
        <f>PL_MODEL!K17</f>
        <v>3408.7406663170541</v>
      </c>
    </row>
    <row r="132" spans="1:5" x14ac:dyDescent="0.2">
      <c r="A132" s="178">
        <v>2019</v>
      </c>
      <c r="B132" t="s">
        <v>369</v>
      </c>
      <c r="C132" t="s">
        <v>67</v>
      </c>
      <c r="D132" t="s">
        <v>370</v>
      </c>
      <c r="E132" s="179">
        <f>PL_MODEL!B18</f>
        <v>488.10038658465174</v>
      </c>
    </row>
    <row r="133" spans="1:5" x14ac:dyDescent="0.2">
      <c r="A133" s="178">
        <v>2020</v>
      </c>
      <c r="B133" t="s">
        <v>369</v>
      </c>
      <c r="C133" t="s">
        <v>67</v>
      </c>
      <c r="D133" t="s">
        <v>370</v>
      </c>
      <c r="E133" s="179">
        <f>PL_MODEL!C18</f>
        <v>505.18390011511445</v>
      </c>
    </row>
    <row r="134" spans="1:5" x14ac:dyDescent="0.2">
      <c r="A134" s="178">
        <v>2021</v>
      </c>
      <c r="B134" t="s">
        <v>369</v>
      </c>
      <c r="C134" t="s">
        <v>67</v>
      </c>
      <c r="D134" t="s">
        <v>370</v>
      </c>
      <c r="E134" s="179">
        <f>PL_MODEL!D18</f>
        <v>522.86533661914348</v>
      </c>
    </row>
    <row r="135" spans="1:5" x14ac:dyDescent="0.2">
      <c r="A135" s="178">
        <v>2022</v>
      </c>
      <c r="B135" t="s">
        <v>369</v>
      </c>
      <c r="C135" t="s">
        <v>67</v>
      </c>
      <c r="D135" t="s">
        <v>370</v>
      </c>
      <c r="E135" s="179">
        <f>PL_MODEL!E18</f>
        <v>541.1656234008135</v>
      </c>
    </row>
    <row r="136" spans="1:5" x14ac:dyDescent="0.2">
      <c r="A136" s="178">
        <v>2023</v>
      </c>
      <c r="B136" t="s">
        <v>369</v>
      </c>
      <c r="C136" t="s">
        <v>67</v>
      </c>
      <c r="D136" t="s">
        <v>370</v>
      </c>
      <c r="E136" s="179">
        <f>PL_MODEL!F18</f>
        <v>560.10642021984188</v>
      </c>
    </row>
    <row r="137" spans="1:5" x14ac:dyDescent="0.2">
      <c r="A137" s="178">
        <v>2024</v>
      </c>
      <c r="B137" t="s">
        <v>369</v>
      </c>
      <c r="C137" t="s">
        <v>67</v>
      </c>
      <c r="D137" t="s">
        <v>370</v>
      </c>
      <c r="E137" s="179">
        <f>PL_MODEL!G18</f>
        <v>579.71014492753625</v>
      </c>
    </row>
    <row r="138" spans="1:5" x14ac:dyDescent="0.2">
      <c r="A138" s="178">
        <v>2025</v>
      </c>
      <c r="B138" t="s">
        <v>369</v>
      </c>
      <c r="C138" t="s">
        <v>67</v>
      </c>
      <c r="D138" t="s">
        <v>370</v>
      </c>
      <c r="E138" s="179">
        <f>PL_MODEL!H18</f>
        <v>600</v>
      </c>
    </row>
    <row r="139" spans="1:5" x14ac:dyDescent="0.2">
      <c r="A139" s="178">
        <v>2026</v>
      </c>
      <c r="B139" t="s">
        <v>369</v>
      </c>
      <c r="C139" t="s">
        <v>67</v>
      </c>
      <c r="D139" t="s">
        <v>370</v>
      </c>
      <c r="E139" s="179">
        <f>PL_MODEL!I18</f>
        <v>621</v>
      </c>
    </row>
    <row r="140" spans="1:5" x14ac:dyDescent="0.2">
      <c r="A140" s="178">
        <v>2027</v>
      </c>
      <c r="B140" t="s">
        <v>369</v>
      </c>
      <c r="C140" t="s">
        <v>67</v>
      </c>
      <c r="D140" t="s">
        <v>370</v>
      </c>
      <c r="E140" s="179">
        <f>PL_MODEL!J18</f>
        <v>642.73500000000001</v>
      </c>
    </row>
    <row r="141" spans="1:5" x14ac:dyDescent="0.2">
      <c r="A141" s="178">
        <v>2028</v>
      </c>
      <c r="B141" t="s">
        <v>369</v>
      </c>
      <c r="C141" t="s">
        <v>67</v>
      </c>
      <c r="D141" t="s">
        <v>370</v>
      </c>
      <c r="E141" s="179">
        <f>PL_MODEL!K18</f>
        <v>665.23072500000001</v>
      </c>
    </row>
    <row r="142" spans="1:5" x14ac:dyDescent="0.2">
      <c r="A142" s="178">
        <v>2019</v>
      </c>
      <c r="B142" t="s">
        <v>369</v>
      </c>
      <c r="C142" t="s">
        <v>68</v>
      </c>
      <c r="D142" t="s">
        <v>370</v>
      </c>
      <c r="E142" s="179">
        <f>PL_MODEL!B19</f>
        <v>635.39138961688559</v>
      </c>
    </row>
    <row r="143" spans="1:5" x14ac:dyDescent="0.2">
      <c r="A143" s="178">
        <v>2020</v>
      </c>
      <c r="B143" t="s">
        <v>369</v>
      </c>
      <c r="C143" t="s">
        <v>68</v>
      </c>
      <c r="D143" t="s">
        <v>370</v>
      </c>
      <c r="E143" s="179">
        <f>PL_MODEL!C19</f>
        <v>431.43190233988486</v>
      </c>
    </row>
    <row r="144" spans="1:5" x14ac:dyDescent="0.2">
      <c r="A144" s="178">
        <v>2021</v>
      </c>
      <c r="B144" t="s">
        <v>369</v>
      </c>
      <c r="C144" t="s">
        <v>68</v>
      </c>
      <c r="D144" t="s">
        <v>370</v>
      </c>
      <c r="E144" s="179">
        <f>PL_MODEL!D19</f>
        <v>397.70737426040489</v>
      </c>
    </row>
    <row r="145" spans="1:5" x14ac:dyDescent="0.2">
      <c r="A145" s="178">
        <v>2022</v>
      </c>
      <c r="B145" t="s">
        <v>369</v>
      </c>
      <c r="C145" t="s">
        <v>68</v>
      </c>
      <c r="D145" t="s">
        <v>370</v>
      </c>
      <c r="E145" s="179">
        <f>PL_MODEL!E19</f>
        <v>1073.2344897188789</v>
      </c>
    </row>
    <row r="146" spans="1:5" x14ac:dyDescent="0.2">
      <c r="A146" s="178">
        <v>2023</v>
      </c>
      <c r="B146" t="s">
        <v>369</v>
      </c>
      <c r="C146" t="s">
        <v>68</v>
      </c>
      <c r="D146" t="s">
        <v>370</v>
      </c>
      <c r="E146" s="179">
        <f>PL_MODEL!F19</f>
        <v>2727.8305546585607</v>
      </c>
    </row>
    <row r="147" spans="1:5" x14ac:dyDescent="0.2">
      <c r="A147" s="178">
        <v>2024</v>
      </c>
      <c r="B147" t="s">
        <v>369</v>
      </c>
      <c r="C147" t="s">
        <v>68</v>
      </c>
      <c r="D147" t="s">
        <v>370</v>
      </c>
      <c r="E147" s="179">
        <f>PL_MODEL!G19</f>
        <v>3055.5011087694338</v>
      </c>
    </row>
    <row r="148" spans="1:5" x14ac:dyDescent="0.2">
      <c r="A148" s="178">
        <v>2025</v>
      </c>
      <c r="B148" t="s">
        <v>369</v>
      </c>
      <c r="C148" t="s">
        <v>68</v>
      </c>
      <c r="D148" t="s">
        <v>370</v>
      </c>
      <c r="E148" s="179">
        <f>PL_MODEL!H19</f>
        <v>2714.7633967426636</v>
      </c>
    </row>
    <row r="149" spans="1:5" x14ac:dyDescent="0.2">
      <c r="A149" s="178">
        <v>2026</v>
      </c>
      <c r="B149" t="s">
        <v>369</v>
      </c>
      <c r="C149" t="s">
        <v>68</v>
      </c>
      <c r="D149" t="s">
        <v>370</v>
      </c>
      <c r="E149" s="179">
        <f>PL_MODEL!I19</f>
        <v>2541.118849019942</v>
      </c>
    </row>
    <row r="150" spans="1:5" x14ac:dyDescent="0.2">
      <c r="A150" s="178">
        <v>2027</v>
      </c>
      <c r="B150" t="s">
        <v>369</v>
      </c>
      <c r="C150" t="s">
        <v>68</v>
      </c>
      <c r="D150" t="s">
        <v>370</v>
      </c>
      <c r="E150" s="179">
        <f>PL_MODEL!J19</f>
        <v>2640.4211575374179</v>
      </c>
    </row>
    <row r="151" spans="1:5" x14ac:dyDescent="0.2">
      <c r="A151" s="178">
        <v>2028</v>
      </c>
      <c r="B151" t="s">
        <v>369</v>
      </c>
      <c r="C151" t="s">
        <v>68</v>
      </c>
      <c r="D151" t="s">
        <v>370</v>
      </c>
      <c r="E151" s="179">
        <f>PL_MODEL!K19</f>
        <v>2743.5099413170542</v>
      </c>
    </row>
    <row r="152" spans="1:5" x14ac:dyDescent="0.2">
      <c r="A152" s="178">
        <v>2019</v>
      </c>
      <c r="B152" t="s">
        <v>369</v>
      </c>
      <c r="C152" t="s">
        <v>69</v>
      </c>
      <c r="D152" t="s">
        <v>370</v>
      </c>
      <c r="E152" s="179">
        <f>PL_MODEL!B20</f>
        <v>120.72436402720827</v>
      </c>
    </row>
    <row r="153" spans="1:5" x14ac:dyDescent="0.2">
      <c r="A153" s="178">
        <v>2020</v>
      </c>
      <c r="B153" t="s">
        <v>369</v>
      </c>
      <c r="C153" t="s">
        <v>69</v>
      </c>
      <c r="D153" t="s">
        <v>370</v>
      </c>
      <c r="E153" s="179">
        <f>PL_MODEL!C20</f>
        <v>81.972061444578131</v>
      </c>
    </row>
    <row r="154" spans="1:5" x14ac:dyDescent="0.2">
      <c r="A154" s="178">
        <v>2021</v>
      </c>
      <c r="B154" t="s">
        <v>369</v>
      </c>
      <c r="C154" t="s">
        <v>69</v>
      </c>
      <c r="D154" t="s">
        <v>370</v>
      </c>
      <c r="E154" s="179">
        <f>PL_MODEL!D20</f>
        <v>75.564401109476933</v>
      </c>
    </row>
    <row r="155" spans="1:5" x14ac:dyDescent="0.2">
      <c r="A155" s="178">
        <v>2022</v>
      </c>
      <c r="B155" t="s">
        <v>369</v>
      </c>
      <c r="C155" t="s">
        <v>69</v>
      </c>
      <c r="D155" t="s">
        <v>370</v>
      </c>
      <c r="E155" s="179">
        <f>PL_MODEL!E20</f>
        <v>203.914553046587</v>
      </c>
    </row>
    <row r="156" spans="1:5" x14ac:dyDescent="0.2">
      <c r="A156" s="178">
        <v>2023</v>
      </c>
      <c r="B156" t="s">
        <v>369</v>
      </c>
      <c r="C156" t="s">
        <v>69</v>
      </c>
      <c r="D156" t="s">
        <v>370</v>
      </c>
      <c r="E156" s="179">
        <f>PL_MODEL!F20</f>
        <v>681.95763866464017</v>
      </c>
    </row>
    <row r="157" spans="1:5" x14ac:dyDescent="0.2">
      <c r="A157" s="178">
        <v>2024</v>
      </c>
      <c r="B157" t="s">
        <v>369</v>
      </c>
      <c r="C157" t="s">
        <v>69</v>
      </c>
      <c r="D157" t="s">
        <v>370</v>
      </c>
      <c r="E157" s="179">
        <f>PL_MODEL!G20</f>
        <v>763.87527719235845</v>
      </c>
    </row>
    <row r="158" spans="1:5" x14ac:dyDescent="0.2">
      <c r="A158" s="178">
        <v>2025</v>
      </c>
      <c r="B158" t="s">
        <v>369</v>
      </c>
      <c r="C158" t="s">
        <v>69</v>
      </c>
      <c r="D158" t="s">
        <v>370</v>
      </c>
      <c r="E158" s="179">
        <f>PL_MODEL!H20</f>
        <v>678.69084918566591</v>
      </c>
    </row>
    <row r="159" spans="1:5" x14ac:dyDescent="0.2">
      <c r="A159" s="178">
        <v>2026</v>
      </c>
      <c r="B159" t="s">
        <v>369</v>
      </c>
      <c r="C159" t="s">
        <v>69</v>
      </c>
      <c r="D159" t="s">
        <v>370</v>
      </c>
      <c r="E159" s="179">
        <f>PL_MODEL!I20</f>
        <v>635.2797122549855</v>
      </c>
    </row>
    <row r="160" spans="1:5" x14ac:dyDescent="0.2">
      <c r="A160" s="178">
        <v>2027</v>
      </c>
      <c r="B160" t="s">
        <v>369</v>
      </c>
      <c r="C160" t="s">
        <v>69</v>
      </c>
      <c r="D160" t="s">
        <v>370</v>
      </c>
      <c r="E160" s="179">
        <f>PL_MODEL!J20</f>
        <v>660.10528938435448</v>
      </c>
    </row>
    <row r="161" spans="1:5" x14ac:dyDescent="0.2">
      <c r="A161" s="178">
        <v>2028</v>
      </c>
      <c r="B161" t="s">
        <v>369</v>
      </c>
      <c r="C161" t="s">
        <v>69</v>
      </c>
      <c r="D161" t="s">
        <v>370</v>
      </c>
      <c r="E161" s="179">
        <f>PL_MODEL!K20</f>
        <v>685.87748532926355</v>
      </c>
    </row>
    <row r="162" spans="1:5" x14ac:dyDescent="0.2">
      <c r="A162" s="178">
        <v>2019</v>
      </c>
      <c r="B162" t="s">
        <v>369</v>
      </c>
      <c r="C162" t="s">
        <v>70</v>
      </c>
      <c r="D162" t="s">
        <v>370</v>
      </c>
      <c r="E162" s="179">
        <f>PL_MODEL!B21</f>
        <v>514.66702558967734</v>
      </c>
    </row>
    <row r="163" spans="1:5" x14ac:dyDescent="0.2">
      <c r="A163" s="178">
        <v>2020</v>
      </c>
      <c r="B163" t="s">
        <v>369</v>
      </c>
      <c r="C163" t="s">
        <v>70</v>
      </c>
      <c r="D163" t="s">
        <v>370</v>
      </c>
      <c r="E163" s="179">
        <f>PL_MODEL!C21</f>
        <v>349.45984089530674</v>
      </c>
    </row>
    <row r="164" spans="1:5" x14ac:dyDescent="0.2">
      <c r="A164" s="178">
        <v>2021</v>
      </c>
      <c r="B164" t="s">
        <v>369</v>
      </c>
      <c r="C164" t="s">
        <v>70</v>
      </c>
      <c r="D164" t="s">
        <v>370</v>
      </c>
      <c r="E164" s="179">
        <f>PL_MODEL!D21</f>
        <v>322.14297315092796</v>
      </c>
    </row>
    <row r="165" spans="1:5" x14ac:dyDescent="0.2">
      <c r="A165" s="178">
        <v>2022</v>
      </c>
      <c r="B165" t="s">
        <v>369</v>
      </c>
      <c r="C165" t="s">
        <v>70</v>
      </c>
      <c r="D165" t="s">
        <v>370</v>
      </c>
      <c r="E165" s="179">
        <f>PL_MODEL!E21</f>
        <v>869.31993667229187</v>
      </c>
    </row>
    <row r="166" spans="1:5" x14ac:dyDescent="0.2">
      <c r="A166" s="178">
        <v>2023</v>
      </c>
      <c r="B166" t="s">
        <v>369</v>
      </c>
      <c r="C166" t="s">
        <v>70</v>
      </c>
      <c r="D166" t="s">
        <v>370</v>
      </c>
      <c r="E166" s="179">
        <f>PL_MODEL!F21</f>
        <v>2045.8729159939205</v>
      </c>
    </row>
    <row r="167" spans="1:5" x14ac:dyDescent="0.2">
      <c r="A167" s="178">
        <v>2024</v>
      </c>
      <c r="B167" t="s">
        <v>369</v>
      </c>
      <c r="C167" t="s">
        <v>70</v>
      </c>
      <c r="D167" t="s">
        <v>370</v>
      </c>
      <c r="E167" s="179">
        <f>PL_MODEL!G21</f>
        <v>2291.6258315770756</v>
      </c>
    </row>
    <row r="168" spans="1:5" x14ac:dyDescent="0.2">
      <c r="A168" s="178">
        <v>2025</v>
      </c>
      <c r="B168" t="s">
        <v>369</v>
      </c>
      <c r="C168" t="s">
        <v>70</v>
      </c>
      <c r="D168" t="s">
        <v>370</v>
      </c>
      <c r="E168" s="179">
        <f>PL_MODEL!H21</f>
        <v>2036.0725475569977</v>
      </c>
    </row>
    <row r="169" spans="1:5" x14ac:dyDescent="0.2">
      <c r="A169" s="178">
        <v>2026</v>
      </c>
      <c r="B169" t="s">
        <v>369</v>
      </c>
      <c r="C169" t="s">
        <v>70</v>
      </c>
      <c r="D169" t="s">
        <v>370</v>
      </c>
      <c r="E169" s="179">
        <f>PL_MODEL!I21</f>
        <v>1905.8391367649565</v>
      </c>
    </row>
    <row r="170" spans="1:5" x14ac:dyDescent="0.2">
      <c r="A170" s="178">
        <v>2027</v>
      </c>
      <c r="B170" t="s">
        <v>369</v>
      </c>
      <c r="C170" t="s">
        <v>70</v>
      </c>
      <c r="D170" t="s">
        <v>370</v>
      </c>
      <c r="E170" s="179">
        <f>PL_MODEL!J21</f>
        <v>1980.3158681530635</v>
      </c>
    </row>
    <row r="171" spans="1:5" x14ac:dyDescent="0.2">
      <c r="A171" s="178">
        <v>2028</v>
      </c>
      <c r="B171" t="s">
        <v>369</v>
      </c>
      <c r="C171" t="s">
        <v>70</v>
      </c>
      <c r="D171" t="s">
        <v>370</v>
      </c>
      <c r="E171" s="179">
        <f>PL_MODEL!K21</f>
        <v>2057.6324559877908</v>
      </c>
    </row>
    <row r="172" spans="1:5" x14ac:dyDescent="0.2">
      <c r="A172" s="178">
        <v>2019</v>
      </c>
      <c r="B172" t="s">
        <v>369</v>
      </c>
      <c r="C172" t="s">
        <v>371</v>
      </c>
      <c r="D172" t="s">
        <v>372</v>
      </c>
      <c r="E172" s="179">
        <f>PL_MODEL!B23</f>
        <v>60</v>
      </c>
    </row>
    <row r="173" spans="1:5" x14ac:dyDescent="0.2">
      <c r="A173" s="178">
        <v>2020</v>
      </c>
      <c r="B173" t="s">
        <v>369</v>
      </c>
      <c r="C173" t="s">
        <v>371</v>
      </c>
      <c r="D173" t="s">
        <v>372</v>
      </c>
      <c r="E173" s="179">
        <f>PL_MODEL!C23</f>
        <v>64.952399020706423</v>
      </c>
    </row>
    <row r="174" spans="1:5" x14ac:dyDescent="0.2">
      <c r="A174" s="178">
        <v>2021</v>
      </c>
      <c r="B174" t="s">
        <v>369</v>
      </c>
      <c r="C174" t="s">
        <v>371</v>
      </c>
      <c r="D174" t="s">
        <v>372</v>
      </c>
      <c r="E174" s="179">
        <f>PL_MODEL!D23</f>
        <v>66.010978556336184</v>
      </c>
    </row>
    <row r="175" spans="1:5" x14ac:dyDescent="0.2">
      <c r="A175" s="178">
        <v>2022</v>
      </c>
      <c r="B175" t="s">
        <v>369</v>
      </c>
      <c r="C175" t="s">
        <v>371</v>
      </c>
      <c r="D175" t="s">
        <v>372</v>
      </c>
      <c r="E175" s="179">
        <f>PL_MODEL!E23</f>
        <v>53.285747098736792</v>
      </c>
    </row>
    <row r="176" spans="1:5" x14ac:dyDescent="0.2">
      <c r="A176" s="178">
        <v>2023</v>
      </c>
      <c r="B176" t="s">
        <v>369</v>
      </c>
      <c r="C176" t="s">
        <v>371</v>
      </c>
      <c r="D176" t="s">
        <v>372</v>
      </c>
      <c r="E176" s="179">
        <f>PL_MODEL!F23</f>
        <v>36.583691677619001</v>
      </c>
    </row>
    <row r="177" spans="1:5" x14ac:dyDescent="0.2">
      <c r="A177" s="178">
        <v>2024</v>
      </c>
      <c r="B177" t="s">
        <v>369</v>
      </c>
      <c r="C177" t="s">
        <v>371</v>
      </c>
      <c r="D177" t="s">
        <v>372</v>
      </c>
      <c r="E177" s="179">
        <f>PL_MODEL!G23</f>
        <v>34.956164215906973</v>
      </c>
    </row>
    <row r="178" spans="1:5" x14ac:dyDescent="0.2">
      <c r="A178" s="178">
        <v>2025</v>
      </c>
      <c r="B178" t="s">
        <v>369</v>
      </c>
      <c r="C178" t="s">
        <v>371</v>
      </c>
      <c r="D178" t="s">
        <v>372</v>
      </c>
      <c r="E178" s="179">
        <f>PL_MODEL!H23</f>
        <v>37.774588817089651</v>
      </c>
    </row>
    <row r="179" spans="1:5" x14ac:dyDescent="0.2">
      <c r="A179" s="178">
        <v>2026</v>
      </c>
      <c r="B179" t="s">
        <v>369</v>
      </c>
      <c r="C179" t="s">
        <v>371</v>
      </c>
      <c r="D179" t="s">
        <v>372</v>
      </c>
      <c r="E179" s="179">
        <f>PL_MODEL!I23</f>
        <v>39.593682811112444</v>
      </c>
    </row>
    <row r="180" spans="1:5" x14ac:dyDescent="0.2">
      <c r="A180" s="178">
        <v>2027</v>
      </c>
      <c r="B180" t="s">
        <v>369</v>
      </c>
      <c r="C180" t="s">
        <v>371</v>
      </c>
      <c r="D180" t="s">
        <v>372</v>
      </c>
      <c r="E180" s="179">
        <f>PL_MODEL!J23</f>
        <v>39.402408981107051</v>
      </c>
    </row>
    <row r="181" spans="1:5" x14ac:dyDescent="0.2">
      <c r="A181" s="178">
        <v>2028</v>
      </c>
      <c r="B181" t="s">
        <v>369</v>
      </c>
      <c r="C181" t="s">
        <v>371</v>
      </c>
      <c r="D181" t="s">
        <v>372</v>
      </c>
      <c r="E181" s="179">
        <f>PL_MODEL!K23</f>
        <v>39.212059179265971</v>
      </c>
    </row>
    <row r="182" spans="1:5" x14ac:dyDescent="0.2">
      <c r="A182" s="178">
        <v>2019</v>
      </c>
      <c r="B182" t="s">
        <v>369</v>
      </c>
      <c r="C182" t="s">
        <v>373</v>
      </c>
      <c r="D182" t="s">
        <v>372</v>
      </c>
      <c r="E182" s="179">
        <f>PL_MODEL!B24</f>
        <v>1.7473543689320383</v>
      </c>
    </row>
    <row r="183" spans="1:5" x14ac:dyDescent="0.2">
      <c r="A183" s="178">
        <v>2020</v>
      </c>
      <c r="B183" t="s">
        <v>369</v>
      </c>
      <c r="C183" t="s">
        <v>373</v>
      </c>
      <c r="D183" t="s">
        <v>372</v>
      </c>
      <c r="E183" s="179">
        <f>PL_MODEL!C24</f>
        <v>1.5755805016181228</v>
      </c>
    </row>
    <row r="184" spans="1:5" x14ac:dyDescent="0.2">
      <c r="A184" s="178">
        <v>2021</v>
      </c>
      <c r="B184" t="s">
        <v>369</v>
      </c>
      <c r="C184" t="s">
        <v>373</v>
      </c>
      <c r="D184" t="s">
        <v>372</v>
      </c>
      <c r="E184" s="179">
        <f>PL_MODEL!D24</f>
        <v>1.5349044498381881</v>
      </c>
    </row>
    <row r="185" spans="1:5" x14ac:dyDescent="0.2">
      <c r="A185" s="178">
        <v>2022</v>
      </c>
      <c r="B185" t="s">
        <v>369</v>
      </c>
      <c r="C185" t="s">
        <v>373</v>
      </c>
      <c r="D185" t="s">
        <v>372</v>
      </c>
      <c r="E185" s="179">
        <f>PL_MODEL!E24</f>
        <v>1.9809668284789639</v>
      </c>
    </row>
    <row r="186" spans="1:5" x14ac:dyDescent="0.2">
      <c r="A186" s="178">
        <v>2023</v>
      </c>
      <c r="B186" t="s">
        <v>369</v>
      </c>
      <c r="C186" t="s">
        <v>373</v>
      </c>
      <c r="D186" t="s">
        <v>372</v>
      </c>
      <c r="E186" s="179">
        <f>PL_MODEL!F24</f>
        <v>3.0426667475728157</v>
      </c>
    </row>
    <row r="187" spans="1:5" x14ac:dyDescent="0.2">
      <c r="A187" s="178">
        <v>2024</v>
      </c>
      <c r="B187" t="s">
        <v>369</v>
      </c>
      <c r="C187" t="s">
        <v>373</v>
      </c>
      <c r="D187" t="s">
        <v>372</v>
      </c>
      <c r="E187" s="179">
        <f>PL_MODEL!G24</f>
        <v>3.1847580906148849</v>
      </c>
    </row>
    <row r="188" spans="1:5" x14ac:dyDescent="0.2">
      <c r="A188" s="178">
        <v>2025</v>
      </c>
      <c r="B188" t="s">
        <v>369</v>
      </c>
      <c r="C188" t="s">
        <v>373</v>
      </c>
      <c r="D188" t="s">
        <v>372</v>
      </c>
      <c r="E188" s="179">
        <f>PL_MODEL!H24</f>
        <v>2.9027741100323623</v>
      </c>
    </row>
    <row r="189" spans="1:5" x14ac:dyDescent="0.2">
      <c r="A189" s="178">
        <v>2026</v>
      </c>
      <c r="B189" t="s">
        <v>369</v>
      </c>
      <c r="C189" t="s">
        <v>373</v>
      </c>
      <c r="D189" t="s">
        <v>372</v>
      </c>
      <c r="E189" s="179">
        <f>PL_MODEL!I24</f>
        <v>2.7367718446601934</v>
      </c>
    </row>
    <row r="190" spans="1:5" x14ac:dyDescent="0.2">
      <c r="A190" s="178">
        <v>2027</v>
      </c>
      <c r="B190" t="s">
        <v>369</v>
      </c>
      <c r="C190" t="s">
        <v>373</v>
      </c>
      <c r="D190" t="s">
        <v>372</v>
      </c>
      <c r="E190" s="179">
        <f>PL_MODEL!J24</f>
        <v>2.7367718446601947</v>
      </c>
    </row>
    <row r="191" spans="1:5" x14ac:dyDescent="0.2">
      <c r="A191" s="178">
        <v>2028</v>
      </c>
      <c r="B191" t="s">
        <v>369</v>
      </c>
      <c r="C191" t="s">
        <v>373</v>
      </c>
      <c r="D191" t="s">
        <v>372</v>
      </c>
      <c r="E191" s="179">
        <f>PL_MODEL!K24</f>
        <v>2.7367718446601943</v>
      </c>
    </row>
    <row r="192" spans="1:5" x14ac:dyDescent="0.2">
      <c r="A192" s="178">
        <v>2019</v>
      </c>
      <c r="B192" t="s">
        <v>369</v>
      </c>
      <c r="C192" t="s">
        <v>374</v>
      </c>
      <c r="D192" t="s">
        <v>372</v>
      </c>
      <c r="E192" s="179">
        <f>PL_MODEL!B25</f>
        <v>6.0444762436735973</v>
      </c>
    </row>
    <row r="193" spans="1:5" x14ac:dyDescent="0.2">
      <c r="A193" s="178">
        <v>2020</v>
      </c>
      <c r="B193" t="s">
        <v>369</v>
      </c>
      <c r="C193" t="s">
        <v>374</v>
      </c>
      <c r="D193" t="s">
        <v>372</v>
      </c>
      <c r="E193" s="179">
        <f>PL_MODEL!C25</f>
        <v>4.0055720378500217</v>
      </c>
    </row>
    <row r="194" spans="1:5" x14ac:dyDescent="0.2">
      <c r="A194" s="178">
        <v>2021</v>
      </c>
      <c r="B194" t="s">
        <v>369</v>
      </c>
      <c r="C194" t="s">
        <v>374</v>
      </c>
      <c r="D194" t="s">
        <v>372</v>
      </c>
      <c r="E194" s="179">
        <f>PL_MODEL!D25</f>
        <v>3.6124286341340808</v>
      </c>
    </row>
    <row r="195" spans="1:5" x14ac:dyDescent="0.2">
      <c r="A195" s="178">
        <v>2022</v>
      </c>
      <c r="B195" t="s">
        <v>369</v>
      </c>
      <c r="C195" t="s">
        <v>374</v>
      </c>
      <c r="D195" t="s">
        <v>372</v>
      </c>
      <c r="E195" s="179">
        <f>PL_MODEL!E25</f>
        <v>9.20965794221439</v>
      </c>
    </row>
    <row r="196" spans="1:5" x14ac:dyDescent="0.2">
      <c r="A196" s="178">
        <v>2023</v>
      </c>
      <c r="B196" t="s">
        <v>369</v>
      </c>
      <c r="C196" t="s">
        <v>374</v>
      </c>
      <c r="D196" t="s">
        <v>372</v>
      </c>
      <c r="E196" s="179">
        <f>PL_MODEL!F25</f>
        <v>19.179918767722352</v>
      </c>
    </row>
    <row r="197" spans="1:5" x14ac:dyDescent="0.2">
      <c r="A197" s="178">
        <v>2024</v>
      </c>
      <c r="B197" t="s">
        <v>369</v>
      </c>
      <c r="C197" t="s">
        <v>374</v>
      </c>
      <c r="D197" t="s">
        <v>372</v>
      </c>
      <c r="E197" s="179">
        <f>PL_MODEL!G25</f>
        <v>19.030718584497933</v>
      </c>
    </row>
    <row r="198" spans="1:5" x14ac:dyDescent="0.2">
      <c r="A198" s="178">
        <v>2025</v>
      </c>
      <c r="B198" t="s">
        <v>369</v>
      </c>
      <c r="C198" t="s">
        <v>374</v>
      </c>
      <c r="D198" t="s">
        <v>372</v>
      </c>
      <c r="E198" s="179">
        <f>PL_MODEL!H25</f>
        <v>15.351102718077769</v>
      </c>
    </row>
    <row r="199" spans="1:5" x14ac:dyDescent="0.2">
      <c r="A199" s="178">
        <v>2026</v>
      </c>
      <c r="B199" t="s">
        <v>369</v>
      </c>
      <c r="C199" t="s">
        <v>374</v>
      </c>
      <c r="D199" t="s">
        <v>372</v>
      </c>
      <c r="E199" s="179">
        <f>PL_MODEL!I25</f>
        <v>13.228685635418797</v>
      </c>
    </row>
    <row r="200" spans="1:5" x14ac:dyDescent="0.2">
      <c r="A200" s="178">
        <v>2027</v>
      </c>
      <c r="B200" t="s">
        <v>369</v>
      </c>
      <c r="C200" t="s">
        <v>374</v>
      </c>
      <c r="D200" t="s">
        <v>372</v>
      </c>
      <c r="E200" s="179">
        <f>PL_MODEL!J25</f>
        <v>12.698356519158455</v>
      </c>
    </row>
    <row r="201" spans="1:5" x14ac:dyDescent="0.2">
      <c r="A201" s="178">
        <v>2028</v>
      </c>
      <c r="B201" t="s">
        <v>369</v>
      </c>
      <c r="C201" t="s">
        <v>374</v>
      </c>
      <c r="D201" t="s">
        <v>372</v>
      </c>
      <c r="E201" s="179">
        <f>PL_MODEL!K25</f>
        <v>12.226244611529596</v>
      </c>
    </row>
    <row r="202" spans="1:5" x14ac:dyDescent="0.2">
      <c r="A202" s="178">
        <v>2019</v>
      </c>
      <c r="B202" t="s">
        <v>375</v>
      </c>
      <c r="C202" t="s">
        <v>85</v>
      </c>
      <c r="D202" t="s">
        <v>370</v>
      </c>
      <c r="E202" s="179">
        <f>BALANCE_SHEET!B4</f>
        <v>14859.972051190169</v>
      </c>
    </row>
    <row r="203" spans="1:5" x14ac:dyDescent="0.2">
      <c r="A203" s="178">
        <v>2020</v>
      </c>
      <c r="B203" t="s">
        <v>375</v>
      </c>
      <c r="C203" t="s">
        <v>85</v>
      </c>
      <c r="D203" t="s">
        <v>370</v>
      </c>
      <c r="E203" s="179">
        <f>BALANCE_SHEET!C4</f>
        <v>15291.733631623356</v>
      </c>
    </row>
    <row r="204" spans="1:5" x14ac:dyDescent="0.2">
      <c r="A204" s="178">
        <v>2021</v>
      </c>
      <c r="B204" t="s">
        <v>375</v>
      </c>
      <c r="C204" t="s">
        <v>85</v>
      </c>
      <c r="D204" t="s">
        <v>370</v>
      </c>
      <c r="E204" s="179">
        <f>BALANCE_SHEET!D4</f>
        <v>15714.878090066282</v>
      </c>
    </row>
    <row r="205" spans="1:5" x14ac:dyDescent="0.2">
      <c r="A205" s="178">
        <v>2022</v>
      </c>
      <c r="B205" t="s">
        <v>375</v>
      </c>
      <c r="C205" t="s">
        <v>85</v>
      </c>
      <c r="D205" t="s">
        <v>370</v>
      </c>
      <c r="E205" s="179">
        <f>BALANCE_SHEET!E4</f>
        <v>16474.373780231399</v>
      </c>
    </row>
    <row r="206" spans="1:5" x14ac:dyDescent="0.2">
      <c r="A206" s="178">
        <v>2023</v>
      </c>
      <c r="B206" t="s">
        <v>375</v>
      </c>
      <c r="C206" t="s">
        <v>85</v>
      </c>
      <c r="D206" t="s">
        <v>370</v>
      </c>
      <c r="E206" s="179">
        <f>BALANCE_SHEET!F4</f>
        <v>17948.127888475108</v>
      </c>
    </row>
    <row r="207" spans="1:5" x14ac:dyDescent="0.2">
      <c r="A207" s="178">
        <v>2024</v>
      </c>
      <c r="B207" t="s">
        <v>375</v>
      </c>
      <c r="C207" t="s">
        <v>85</v>
      </c>
      <c r="D207" t="s">
        <v>370</v>
      </c>
      <c r="E207" s="179">
        <f>BALANCE_SHEET!G4</f>
        <v>19577.951808621408</v>
      </c>
    </row>
    <row r="208" spans="1:5" x14ac:dyDescent="0.2">
      <c r="A208" s="178">
        <v>2025</v>
      </c>
      <c r="B208" t="s">
        <v>375</v>
      </c>
      <c r="C208" t="s">
        <v>85</v>
      </c>
      <c r="D208" t="s">
        <v>370</v>
      </c>
      <c r="E208" s="179">
        <f>BALANCE_SHEET!H4</f>
        <v>21063.363453097583</v>
      </c>
    </row>
    <row r="209" spans="1:5" x14ac:dyDescent="0.2">
      <c r="A209" s="178">
        <v>2026</v>
      </c>
      <c r="B209" t="s">
        <v>375</v>
      </c>
      <c r="C209" t="s">
        <v>85</v>
      </c>
      <c r="D209" t="s">
        <v>370</v>
      </c>
      <c r="E209" s="179">
        <f>BALANCE_SHEET!I4</f>
        <v>22479.866935156577</v>
      </c>
    </row>
    <row r="210" spans="1:5" x14ac:dyDescent="0.2">
      <c r="A210" s="178">
        <v>2027</v>
      </c>
      <c r="B210" t="s">
        <v>375</v>
      </c>
      <c r="C210" t="s">
        <v>85</v>
      </c>
      <c r="D210" t="s">
        <v>370</v>
      </c>
      <c r="E210" s="179">
        <f>BALANCE_SHEET!J4</f>
        <v>23950.611456048355</v>
      </c>
    </row>
    <row r="211" spans="1:5" x14ac:dyDescent="0.2">
      <c r="A211" s="178">
        <v>2028</v>
      </c>
      <c r="B211" t="s">
        <v>375</v>
      </c>
      <c r="C211" t="s">
        <v>85</v>
      </c>
      <c r="D211" t="s">
        <v>370</v>
      </c>
      <c r="E211" s="179">
        <f>BALANCE_SHEET!K4</f>
        <v>25477.635354641097</v>
      </c>
    </row>
    <row r="212" spans="1:5" x14ac:dyDescent="0.2">
      <c r="A212" s="178">
        <v>2019</v>
      </c>
      <c r="B212" t="s">
        <v>375</v>
      </c>
      <c r="C212" t="s">
        <v>86</v>
      </c>
      <c r="D212" t="s">
        <v>370</v>
      </c>
      <c r="E212" s="179">
        <f>BALANCE_SHEET!B5</f>
        <v>122025.09664616293</v>
      </c>
    </row>
    <row r="213" spans="1:5" x14ac:dyDescent="0.2">
      <c r="A213" s="178">
        <v>2020</v>
      </c>
      <c r="B213" t="s">
        <v>375</v>
      </c>
      <c r="C213" t="s">
        <v>86</v>
      </c>
      <c r="D213" t="s">
        <v>370</v>
      </c>
      <c r="E213" s="179">
        <f>BALANCE_SHEET!C5</f>
        <v>126295.97502877862</v>
      </c>
    </row>
    <row r="214" spans="1:5" x14ac:dyDescent="0.2">
      <c r="A214" s="178">
        <v>2021</v>
      </c>
      <c r="B214" t="s">
        <v>375</v>
      </c>
      <c r="C214" t="s">
        <v>86</v>
      </c>
      <c r="D214" t="s">
        <v>370</v>
      </c>
      <c r="E214" s="179">
        <f>BALANCE_SHEET!D5</f>
        <v>130716.33415478586</v>
      </c>
    </row>
    <row r="215" spans="1:5" x14ac:dyDescent="0.2">
      <c r="A215" s="178">
        <v>2022</v>
      </c>
      <c r="B215" t="s">
        <v>375</v>
      </c>
      <c r="C215" t="s">
        <v>86</v>
      </c>
      <c r="D215" t="s">
        <v>370</v>
      </c>
      <c r="E215" s="179">
        <f>BALANCE_SHEET!E5</f>
        <v>135291.40585020336</v>
      </c>
    </row>
    <row r="216" spans="1:5" x14ac:dyDescent="0.2">
      <c r="A216" s="178">
        <v>2023</v>
      </c>
      <c r="B216" t="s">
        <v>375</v>
      </c>
      <c r="C216" t="s">
        <v>86</v>
      </c>
      <c r="D216" t="s">
        <v>370</v>
      </c>
      <c r="E216" s="179">
        <f>BALANCE_SHEET!F5</f>
        <v>140026.60505496047</v>
      </c>
    </row>
    <row r="217" spans="1:5" x14ac:dyDescent="0.2">
      <c r="A217" s="178">
        <v>2024</v>
      </c>
      <c r="B217" t="s">
        <v>375</v>
      </c>
      <c r="C217" t="s">
        <v>86</v>
      </c>
      <c r="D217" t="s">
        <v>370</v>
      </c>
      <c r="E217" s="179">
        <f>BALANCE_SHEET!G5</f>
        <v>144927.53623188406</v>
      </c>
    </row>
    <row r="218" spans="1:5" x14ac:dyDescent="0.2">
      <c r="A218" s="178">
        <v>2025</v>
      </c>
      <c r="B218" t="s">
        <v>375</v>
      </c>
      <c r="C218" t="s">
        <v>86</v>
      </c>
      <c r="D218" t="s">
        <v>370</v>
      </c>
      <c r="E218" s="179">
        <f>BALANCE_SHEET!H5</f>
        <v>150000</v>
      </c>
    </row>
    <row r="219" spans="1:5" x14ac:dyDescent="0.2">
      <c r="A219" s="178">
        <v>2026</v>
      </c>
      <c r="B219" t="s">
        <v>375</v>
      </c>
      <c r="C219" t="s">
        <v>86</v>
      </c>
      <c r="D219" t="s">
        <v>370</v>
      </c>
      <c r="E219" s="179">
        <f>BALANCE_SHEET!I5</f>
        <v>155250</v>
      </c>
    </row>
    <row r="220" spans="1:5" x14ac:dyDescent="0.2">
      <c r="A220" s="178">
        <v>2027</v>
      </c>
      <c r="B220" t="s">
        <v>375</v>
      </c>
      <c r="C220" t="s">
        <v>86</v>
      </c>
      <c r="D220" t="s">
        <v>370</v>
      </c>
      <c r="E220" s="179">
        <f>BALANCE_SHEET!J5</f>
        <v>160683.75</v>
      </c>
    </row>
    <row r="221" spans="1:5" x14ac:dyDescent="0.2">
      <c r="A221" s="178">
        <v>2028</v>
      </c>
      <c r="B221" t="s">
        <v>375</v>
      </c>
      <c r="C221" t="s">
        <v>86</v>
      </c>
      <c r="D221" t="s">
        <v>370</v>
      </c>
      <c r="E221" s="179">
        <f>BALANCE_SHEET!K5</f>
        <v>166307.68124999999</v>
      </c>
    </row>
    <row r="222" spans="1:5" x14ac:dyDescent="0.2">
      <c r="A222" s="178">
        <v>2019</v>
      </c>
      <c r="B222" t="s">
        <v>375</v>
      </c>
      <c r="C222" t="s">
        <v>87</v>
      </c>
      <c r="D222" t="s">
        <v>370</v>
      </c>
      <c r="E222" s="179">
        <f>BALANCE_SHEET!B6</f>
        <v>3660.7528993848878</v>
      </c>
    </row>
    <row r="223" spans="1:5" x14ac:dyDescent="0.2">
      <c r="A223" s="178">
        <v>2020</v>
      </c>
      <c r="B223" t="s">
        <v>375</v>
      </c>
      <c r="C223" t="s">
        <v>87</v>
      </c>
      <c r="D223" t="s">
        <v>370</v>
      </c>
      <c r="E223" s="179">
        <f>BALANCE_SHEET!C6</f>
        <v>3788.8792508633583</v>
      </c>
    </row>
    <row r="224" spans="1:5" x14ac:dyDescent="0.2">
      <c r="A224" s="178">
        <v>2021</v>
      </c>
      <c r="B224" t="s">
        <v>375</v>
      </c>
      <c r="C224" t="s">
        <v>87</v>
      </c>
      <c r="D224" t="s">
        <v>370</v>
      </c>
      <c r="E224" s="179">
        <f>BALANCE_SHEET!D6</f>
        <v>3921.4900246435755</v>
      </c>
    </row>
    <row r="225" spans="1:5" x14ac:dyDescent="0.2">
      <c r="A225" s="178">
        <v>2022</v>
      </c>
      <c r="B225" t="s">
        <v>375</v>
      </c>
      <c r="C225" t="s">
        <v>87</v>
      </c>
      <c r="D225" t="s">
        <v>370</v>
      </c>
      <c r="E225" s="179">
        <f>BALANCE_SHEET!E6</f>
        <v>4058.7421755061005</v>
      </c>
    </row>
    <row r="226" spans="1:5" x14ac:dyDescent="0.2">
      <c r="A226" s="178">
        <v>2023</v>
      </c>
      <c r="B226" t="s">
        <v>375</v>
      </c>
      <c r="C226" t="s">
        <v>87</v>
      </c>
      <c r="D226" t="s">
        <v>370</v>
      </c>
      <c r="E226" s="179">
        <f>BALANCE_SHEET!F6</f>
        <v>4200.7981516488144</v>
      </c>
    </row>
    <row r="227" spans="1:5" x14ac:dyDescent="0.2">
      <c r="A227" s="178">
        <v>2024</v>
      </c>
      <c r="B227" t="s">
        <v>375</v>
      </c>
      <c r="C227" t="s">
        <v>87</v>
      </c>
      <c r="D227" t="s">
        <v>370</v>
      </c>
      <c r="E227" s="179">
        <f>BALANCE_SHEET!G6</f>
        <v>4347.826086956522</v>
      </c>
    </row>
    <row r="228" spans="1:5" x14ac:dyDescent="0.2">
      <c r="A228" s="178">
        <v>2025</v>
      </c>
      <c r="B228" t="s">
        <v>375</v>
      </c>
      <c r="C228" t="s">
        <v>87</v>
      </c>
      <c r="D228" t="s">
        <v>370</v>
      </c>
      <c r="E228" s="179">
        <f>BALANCE_SHEET!H6</f>
        <v>4500</v>
      </c>
    </row>
    <row r="229" spans="1:5" x14ac:dyDescent="0.2">
      <c r="A229" s="178">
        <v>2026</v>
      </c>
      <c r="B229" t="s">
        <v>375</v>
      </c>
      <c r="C229" t="s">
        <v>87</v>
      </c>
      <c r="D229" t="s">
        <v>370</v>
      </c>
      <c r="E229" s="179">
        <f>BALANCE_SHEET!I6</f>
        <v>4657.5</v>
      </c>
    </row>
    <row r="230" spans="1:5" x14ac:dyDescent="0.2">
      <c r="A230" s="178">
        <v>2027</v>
      </c>
      <c r="B230" t="s">
        <v>375</v>
      </c>
      <c r="C230" t="s">
        <v>87</v>
      </c>
      <c r="D230" t="s">
        <v>370</v>
      </c>
      <c r="E230" s="179">
        <f>BALANCE_SHEET!J6</f>
        <v>4820.5124999999998</v>
      </c>
    </row>
    <row r="231" spans="1:5" x14ac:dyDescent="0.2">
      <c r="A231" s="178">
        <v>2028</v>
      </c>
      <c r="B231" t="s">
        <v>375</v>
      </c>
      <c r="C231" t="s">
        <v>87</v>
      </c>
      <c r="D231" t="s">
        <v>370</v>
      </c>
      <c r="E231" s="179">
        <f>BALANCE_SHEET!K6</f>
        <v>4989.2304374999994</v>
      </c>
    </row>
    <row r="232" spans="1:5" x14ac:dyDescent="0.2">
      <c r="A232" s="178">
        <v>2019</v>
      </c>
      <c r="B232" t="s">
        <v>375</v>
      </c>
      <c r="C232" t="s">
        <v>88</v>
      </c>
      <c r="D232" t="s">
        <v>370</v>
      </c>
      <c r="E232" s="179">
        <f>BALANCE_SHEET!B7</f>
        <v>3660.7528993848878</v>
      </c>
    </row>
    <row r="233" spans="1:5" x14ac:dyDescent="0.2">
      <c r="A233" s="178">
        <v>2020</v>
      </c>
      <c r="B233" t="s">
        <v>375</v>
      </c>
      <c r="C233" t="s">
        <v>88</v>
      </c>
      <c r="D233" t="s">
        <v>370</v>
      </c>
      <c r="E233" s="179">
        <f>BALANCE_SHEET!C7</f>
        <v>3788.8792508633583</v>
      </c>
    </row>
    <row r="234" spans="1:5" x14ac:dyDescent="0.2">
      <c r="A234" s="178">
        <v>2021</v>
      </c>
      <c r="B234" t="s">
        <v>375</v>
      </c>
      <c r="C234" t="s">
        <v>88</v>
      </c>
      <c r="D234" t="s">
        <v>370</v>
      </c>
      <c r="E234" s="179">
        <f>BALANCE_SHEET!D7</f>
        <v>3921.4900246435755</v>
      </c>
    </row>
    <row r="235" spans="1:5" x14ac:dyDescent="0.2">
      <c r="A235" s="178">
        <v>2022</v>
      </c>
      <c r="B235" t="s">
        <v>375</v>
      </c>
      <c r="C235" t="s">
        <v>88</v>
      </c>
      <c r="D235" t="s">
        <v>370</v>
      </c>
      <c r="E235" s="179">
        <f>BALANCE_SHEET!E7</f>
        <v>4058.7421755061005</v>
      </c>
    </row>
    <row r="236" spans="1:5" x14ac:dyDescent="0.2">
      <c r="A236" s="178">
        <v>2023</v>
      </c>
      <c r="B236" t="s">
        <v>375</v>
      </c>
      <c r="C236" t="s">
        <v>88</v>
      </c>
      <c r="D236" t="s">
        <v>370</v>
      </c>
      <c r="E236" s="179">
        <f>BALANCE_SHEET!F7</f>
        <v>4200.7981516488144</v>
      </c>
    </row>
    <row r="237" spans="1:5" x14ac:dyDescent="0.2">
      <c r="A237" s="178">
        <v>2024</v>
      </c>
      <c r="B237" t="s">
        <v>375</v>
      </c>
      <c r="C237" t="s">
        <v>88</v>
      </c>
      <c r="D237" t="s">
        <v>370</v>
      </c>
      <c r="E237" s="179">
        <f>BALANCE_SHEET!G7</f>
        <v>4347.826086956522</v>
      </c>
    </row>
    <row r="238" spans="1:5" x14ac:dyDescent="0.2">
      <c r="A238" s="178">
        <v>2025</v>
      </c>
      <c r="B238" t="s">
        <v>375</v>
      </c>
      <c r="C238" t="s">
        <v>88</v>
      </c>
      <c r="D238" t="s">
        <v>370</v>
      </c>
      <c r="E238" s="179">
        <f>BALANCE_SHEET!H7</f>
        <v>4500</v>
      </c>
    </row>
    <row r="239" spans="1:5" x14ac:dyDescent="0.2">
      <c r="A239" s="178">
        <v>2026</v>
      </c>
      <c r="B239" t="s">
        <v>375</v>
      </c>
      <c r="C239" t="s">
        <v>88</v>
      </c>
      <c r="D239" t="s">
        <v>370</v>
      </c>
      <c r="E239" s="179">
        <f>BALANCE_SHEET!I7</f>
        <v>4657.5</v>
      </c>
    </row>
    <row r="240" spans="1:5" x14ac:dyDescent="0.2">
      <c r="A240" s="178">
        <v>2027</v>
      </c>
      <c r="B240" t="s">
        <v>375</v>
      </c>
      <c r="C240" t="s">
        <v>88</v>
      </c>
      <c r="D240" t="s">
        <v>370</v>
      </c>
      <c r="E240" s="179">
        <f>BALANCE_SHEET!J7</f>
        <v>4820.5124999999998</v>
      </c>
    </row>
    <row r="241" spans="1:5" x14ac:dyDescent="0.2">
      <c r="A241" s="178">
        <v>2028</v>
      </c>
      <c r="B241" t="s">
        <v>375</v>
      </c>
      <c r="C241" t="s">
        <v>88</v>
      </c>
      <c r="D241" t="s">
        <v>370</v>
      </c>
      <c r="E241" s="179">
        <f>BALANCE_SHEET!K7</f>
        <v>4989.2304374999994</v>
      </c>
    </row>
    <row r="242" spans="1:5" x14ac:dyDescent="0.2">
      <c r="A242" s="178">
        <v>2019</v>
      </c>
      <c r="B242" t="s">
        <v>375</v>
      </c>
      <c r="C242" t="s">
        <v>219</v>
      </c>
      <c r="D242" t="s">
        <v>370</v>
      </c>
      <c r="E242" s="179">
        <f>BALANCE_SHEET!B8</f>
        <v>144206.57449612286</v>
      </c>
    </row>
    <row r="243" spans="1:5" x14ac:dyDescent="0.2">
      <c r="A243" s="178">
        <v>2020</v>
      </c>
      <c r="B243" t="s">
        <v>375</v>
      </c>
      <c r="C243" t="s">
        <v>219</v>
      </c>
      <c r="D243" t="s">
        <v>370</v>
      </c>
      <c r="E243" s="179">
        <f>BALANCE_SHEET!C8</f>
        <v>149165.46716212871</v>
      </c>
    </row>
    <row r="244" spans="1:5" x14ac:dyDescent="0.2">
      <c r="A244" s="178">
        <v>2021</v>
      </c>
      <c r="B244" t="s">
        <v>375</v>
      </c>
      <c r="C244" t="s">
        <v>219</v>
      </c>
      <c r="D244" t="s">
        <v>370</v>
      </c>
      <c r="E244" s="179">
        <f>BALANCE_SHEET!D8</f>
        <v>154274.1922941393</v>
      </c>
    </row>
    <row r="245" spans="1:5" x14ac:dyDescent="0.2">
      <c r="A245" s="178">
        <v>2022</v>
      </c>
      <c r="B245" t="s">
        <v>375</v>
      </c>
      <c r="C245" t="s">
        <v>219</v>
      </c>
      <c r="D245" t="s">
        <v>370</v>
      </c>
      <c r="E245" s="179">
        <f>BALANCE_SHEET!E8</f>
        <v>159883.26398144697</v>
      </c>
    </row>
    <row r="246" spans="1:5" x14ac:dyDescent="0.2">
      <c r="A246" s="178">
        <v>2023</v>
      </c>
      <c r="B246" t="s">
        <v>375</v>
      </c>
      <c r="C246" t="s">
        <v>219</v>
      </c>
      <c r="D246" t="s">
        <v>370</v>
      </c>
      <c r="E246" s="179">
        <f>BALANCE_SHEET!F8</f>
        <v>166376.32924673319</v>
      </c>
    </row>
    <row r="247" spans="1:5" x14ac:dyDescent="0.2">
      <c r="A247" s="178">
        <v>2024</v>
      </c>
      <c r="B247" t="s">
        <v>375</v>
      </c>
      <c r="C247" t="s">
        <v>219</v>
      </c>
      <c r="D247" t="s">
        <v>370</v>
      </c>
      <c r="E247" s="179">
        <f>BALANCE_SHEET!G8</f>
        <v>173201.1402144185</v>
      </c>
    </row>
    <row r="248" spans="1:5" x14ac:dyDescent="0.2">
      <c r="A248" s="178">
        <v>2025</v>
      </c>
      <c r="B248" t="s">
        <v>375</v>
      </c>
      <c r="C248" t="s">
        <v>219</v>
      </c>
      <c r="D248" t="s">
        <v>370</v>
      </c>
      <c r="E248" s="179">
        <f>BALANCE_SHEET!H8</f>
        <v>180063.36345309758</v>
      </c>
    </row>
    <row r="249" spans="1:5" x14ac:dyDescent="0.2">
      <c r="A249" s="178">
        <v>2026</v>
      </c>
      <c r="B249" t="s">
        <v>375</v>
      </c>
      <c r="C249" t="s">
        <v>219</v>
      </c>
      <c r="D249" t="s">
        <v>370</v>
      </c>
      <c r="E249" s="179">
        <f>BALANCE_SHEET!I8</f>
        <v>187044.86693515658</v>
      </c>
    </row>
    <row r="250" spans="1:5" x14ac:dyDescent="0.2">
      <c r="A250" s="178">
        <v>2027</v>
      </c>
      <c r="B250" t="s">
        <v>375</v>
      </c>
      <c r="C250" t="s">
        <v>219</v>
      </c>
      <c r="D250" t="s">
        <v>370</v>
      </c>
      <c r="E250" s="179">
        <f>BALANCE_SHEET!J8</f>
        <v>194275.38645604838</v>
      </c>
    </row>
    <row r="251" spans="1:5" x14ac:dyDescent="0.2">
      <c r="A251" s="178">
        <v>2028</v>
      </c>
      <c r="B251" t="s">
        <v>375</v>
      </c>
      <c r="C251" t="s">
        <v>219</v>
      </c>
      <c r="D251" t="s">
        <v>370</v>
      </c>
      <c r="E251" s="179">
        <f>BALANCE_SHEET!K8</f>
        <v>201763.77747964108</v>
      </c>
    </row>
    <row r="252" spans="1:5" x14ac:dyDescent="0.2">
      <c r="A252" s="178">
        <v>2019</v>
      </c>
      <c r="B252" t="s">
        <v>375</v>
      </c>
      <c r="C252" t="s">
        <v>91</v>
      </c>
      <c r="D252" t="s">
        <v>370</v>
      </c>
      <c r="E252" s="179">
        <f>BALANCE_SHEET!B10</f>
        <v>109822.58698154664</v>
      </c>
    </row>
    <row r="253" spans="1:5" x14ac:dyDescent="0.2">
      <c r="A253" s="178">
        <v>2020</v>
      </c>
      <c r="B253" t="s">
        <v>375</v>
      </c>
      <c r="C253" t="s">
        <v>91</v>
      </c>
      <c r="D253" t="s">
        <v>370</v>
      </c>
      <c r="E253" s="179">
        <f>BALANCE_SHEET!C10</f>
        <v>113666.37752590075</v>
      </c>
    </row>
    <row r="254" spans="1:5" x14ac:dyDescent="0.2">
      <c r="A254" s="178">
        <v>2021</v>
      </c>
      <c r="B254" t="s">
        <v>375</v>
      </c>
      <c r="C254" t="s">
        <v>91</v>
      </c>
      <c r="D254" t="s">
        <v>370</v>
      </c>
      <c r="E254" s="179">
        <f>BALANCE_SHEET!D10</f>
        <v>117644.70073930727</v>
      </c>
    </row>
    <row r="255" spans="1:5" x14ac:dyDescent="0.2">
      <c r="A255" s="178">
        <v>2022</v>
      </c>
      <c r="B255" t="s">
        <v>375</v>
      </c>
      <c r="C255" t="s">
        <v>91</v>
      </c>
      <c r="D255" t="s">
        <v>370</v>
      </c>
      <c r="E255" s="179">
        <f>BALANCE_SHEET!E10</f>
        <v>121762.26526518303</v>
      </c>
    </row>
    <row r="256" spans="1:5" x14ac:dyDescent="0.2">
      <c r="A256" s="178">
        <v>2023</v>
      </c>
      <c r="B256" t="s">
        <v>375</v>
      </c>
      <c r="C256" t="s">
        <v>91</v>
      </c>
      <c r="D256" t="s">
        <v>370</v>
      </c>
      <c r="E256" s="179">
        <f>BALANCE_SHEET!F10</f>
        <v>126023.94454946443</v>
      </c>
    </row>
    <row r="257" spans="1:5" x14ac:dyDescent="0.2">
      <c r="A257" s="178">
        <v>2024</v>
      </c>
      <c r="B257" t="s">
        <v>375</v>
      </c>
      <c r="C257" t="s">
        <v>91</v>
      </c>
      <c r="D257" t="s">
        <v>370</v>
      </c>
      <c r="E257" s="179">
        <f>BALANCE_SHEET!G10</f>
        <v>130434.78260869566</v>
      </c>
    </row>
    <row r="258" spans="1:5" x14ac:dyDescent="0.2">
      <c r="A258" s="178">
        <v>2025</v>
      </c>
      <c r="B258" t="s">
        <v>375</v>
      </c>
      <c r="C258" t="s">
        <v>91</v>
      </c>
      <c r="D258" t="s">
        <v>370</v>
      </c>
      <c r="E258" s="179">
        <f>BALANCE_SHEET!H10</f>
        <v>135000</v>
      </c>
    </row>
    <row r="259" spans="1:5" x14ac:dyDescent="0.2">
      <c r="A259" s="178">
        <v>2026</v>
      </c>
      <c r="B259" t="s">
        <v>375</v>
      </c>
      <c r="C259" t="s">
        <v>91</v>
      </c>
      <c r="D259" t="s">
        <v>370</v>
      </c>
      <c r="E259" s="179">
        <f>BALANCE_SHEET!I10</f>
        <v>139725</v>
      </c>
    </row>
    <row r="260" spans="1:5" x14ac:dyDescent="0.2">
      <c r="A260" s="178">
        <v>2027</v>
      </c>
      <c r="B260" t="s">
        <v>375</v>
      </c>
      <c r="C260" t="s">
        <v>91</v>
      </c>
      <c r="D260" t="s">
        <v>370</v>
      </c>
      <c r="E260" s="179">
        <f>BALANCE_SHEET!J10</f>
        <v>144615.375</v>
      </c>
    </row>
    <row r="261" spans="1:5" x14ac:dyDescent="0.2">
      <c r="A261" s="178">
        <v>2028</v>
      </c>
      <c r="B261" t="s">
        <v>375</v>
      </c>
      <c r="C261" t="s">
        <v>91</v>
      </c>
      <c r="D261" t="s">
        <v>370</v>
      </c>
      <c r="E261" s="179">
        <f>BALANCE_SHEET!K10</f>
        <v>149676.91312499999</v>
      </c>
    </row>
    <row r="262" spans="1:5" x14ac:dyDescent="0.2">
      <c r="A262" s="178">
        <v>2019</v>
      </c>
      <c r="B262" t="s">
        <v>375</v>
      </c>
      <c r="C262" t="s">
        <v>92</v>
      </c>
      <c r="D262" t="s">
        <v>370</v>
      </c>
      <c r="E262" s="179">
        <f>BALANCE_SHEET!B11</f>
        <v>19768.065656678395</v>
      </c>
    </row>
    <row r="263" spans="1:5" x14ac:dyDescent="0.2">
      <c r="A263" s="178">
        <v>2020</v>
      </c>
      <c r="B263" t="s">
        <v>375</v>
      </c>
      <c r="C263" t="s">
        <v>92</v>
      </c>
      <c r="D263" t="s">
        <v>370</v>
      </c>
      <c r="E263" s="179">
        <f>BALANCE_SHEET!C11</f>
        <v>20459.947954662133</v>
      </c>
    </row>
    <row r="264" spans="1:5" x14ac:dyDescent="0.2">
      <c r="A264" s="178">
        <v>2021</v>
      </c>
      <c r="B264" t="s">
        <v>375</v>
      </c>
      <c r="C264" t="s">
        <v>92</v>
      </c>
      <c r="D264" t="s">
        <v>370</v>
      </c>
      <c r="E264" s="179">
        <f>BALANCE_SHEET!D11</f>
        <v>21176.04613307531</v>
      </c>
    </row>
    <row r="265" spans="1:5" x14ac:dyDescent="0.2">
      <c r="A265" s="178">
        <v>2022</v>
      </c>
      <c r="B265" t="s">
        <v>375</v>
      </c>
      <c r="C265" t="s">
        <v>92</v>
      </c>
      <c r="D265" t="s">
        <v>370</v>
      </c>
      <c r="E265" s="179">
        <f>BALANCE_SHEET!E11</f>
        <v>21917.207747732944</v>
      </c>
    </row>
    <row r="266" spans="1:5" x14ac:dyDescent="0.2">
      <c r="A266" s="178">
        <v>2023</v>
      </c>
      <c r="B266" t="s">
        <v>375</v>
      </c>
      <c r="C266" t="s">
        <v>92</v>
      </c>
      <c r="D266" t="s">
        <v>370</v>
      </c>
      <c r="E266" s="179">
        <f>BALANCE_SHEET!F11</f>
        <v>22684.310018903598</v>
      </c>
    </row>
    <row r="267" spans="1:5" x14ac:dyDescent="0.2">
      <c r="A267" s="178">
        <v>2024</v>
      </c>
      <c r="B267" t="s">
        <v>375</v>
      </c>
      <c r="C267" t="s">
        <v>92</v>
      </c>
      <c r="D267" t="s">
        <v>370</v>
      </c>
      <c r="E267" s="179">
        <f>BALANCE_SHEET!G11</f>
        <v>23478.26086956522</v>
      </c>
    </row>
    <row r="268" spans="1:5" x14ac:dyDescent="0.2">
      <c r="A268" s="178">
        <v>2025</v>
      </c>
      <c r="B268" t="s">
        <v>375</v>
      </c>
      <c r="C268" t="s">
        <v>92</v>
      </c>
      <c r="D268" t="s">
        <v>370</v>
      </c>
      <c r="E268" s="179">
        <f>BALANCE_SHEET!H11</f>
        <v>24300</v>
      </c>
    </row>
    <row r="269" spans="1:5" x14ac:dyDescent="0.2">
      <c r="A269" s="178">
        <v>2026</v>
      </c>
      <c r="B269" t="s">
        <v>375</v>
      </c>
      <c r="C269" t="s">
        <v>92</v>
      </c>
      <c r="D269" t="s">
        <v>370</v>
      </c>
      <c r="E269" s="179">
        <f>BALANCE_SHEET!I11</f>
        <v>25150.5</v>
      </c>
    </row>
    <row r="270" spans="1:5" x14ac:dyDescent="0.2">
      <c r="A270" s="178">
        <v>2027</v>
      </c>
      <c r="B270" t="s">
        <v>375</v>
      </c>
      <c r="C270" t="s">
        <v>92</v>
      </c>
      <c r="D270" t="s">
        <v>370</v>
      </c>
      <c r="E270" s="179">
        <f>BALANCE_SHEET!J11</f>
        <v>26030.767499999998</v>
      </c>
    </row>
    <row r="271" spans="1:5" x14ac:dyDescent="0.2">
      <c r="A271" s="178">
        <v>2028</v>
      </c>
      <c r="B271" t="s">
        <v>375</v>
      </c>
      <c r="C271" t="s">
        <v>92</v>
      </c>
      <c r="D271" t="s">
        <v>370</v>
      </c>
      <c r="E271" s="179">
        <f>BALANCE_SHEET!K11</f>
        <v>26941.844362499996</v>
      </c>
    </row>
    <row r="272" spans="1:5" x14ac:dyDescent="0.2">
      <c r="A272" s="178">
        <v>2019</v>
      </c>
      <c r="B272" t="s">
        <v>375</v>
      </c>
      <c r="C272" t="s">
        <v>93</v>
      </c>
      <c r="D272" t="s">
        <v>370</v>
      </c>
      <c r="E272" s="179">
        <f>BALANCE_SHEET!B12</f>
        <v>6101.2548323081464</v>
      </c>
    </row>
    <row r="273" spans="1:5" x14ac:dyDescent="0.2">
      <c r="A273" s="178">
        <v>2020</v>
      </c>
      <c r="B273" t="s">
        <v>375</v>
      </c>
      <c r="C273" t="s">
        <v>93</v>
      </c>
      <c r="D273" t="s">
        <v>370</v>
      </c>
      <c r="E273" s="179">
        <f>BALANCE_SHEET!C12</f>
        <v>6314.7987514389315</v>
      </c>
    </row>
    <row r="274" spans="1:5" x14ac:dyDescent="0.2">
      <c r="A274" s="178">
        <v>2021</v>
      </c>
      <c r="B274" t="s">
        <v>375</v>
      </c>
      <c r="C274" t="s">
        <v>93</v>
      </c>
      <c r="D274" t="s">
        <v>370</v>
      </c>
      <c r="E274" s="179">
        <f>BALANCE_SHEET!D12</f>
        <v>6535.8167077392936</v>
      </c>
    </row>
    <row r="275" spans="1:5" x14ac:dyDescent="0.2">
      <c r="A275" s="178">
        <v>2022</v>
      </c>
      <c r="B275" t="s">
        <v>375</v>
      </c>
      <c r="C275" t="s">
        <v>93</v>
      </c>
      <c r="D275" t="s">
        <v>370</v>
      </c>
      <c r="E275" s="179">
        <f>BALANCE_SHEET!E12</f>
        <v>6764.5702925101687</v>
      </c>
    </row>
    <row r="276" spans="1:5" x14ac:dyDescent="0.2">
      <c r="A276" s="178">
        <v>2023</v>
      </c>
      <c r="B276" t="s">
        <v>375</v>
      </c>
      <c r="C276" t="s">
        <v>93</v>
      </c>
      <c r="D276" t="s">
        <v>370</v>
      </c>
      <c r="E276" s="179">
        <f>BALANCE_SHEET!F12</f>
        <v>7001.3302527480237</v>
      </c>
    </row>
    <row r="277" spans="1:5" x14ac:dyDescent="0.2">
      <c r="A277" s="178">
        <v>2024</v>
      </c>
      <c r="B277" t="s">
        <v>375</v>
      </c>
      <c r="C277" t="s">
        <v>93</v>
      </c>
      <c r="D277" t="s">
        <v>370</v>
      </c>
      <c r="E277" s="179">
        <f>BALANCE_SHEET!G12</f>
        <v>7246.3768115942039</v>
      </c>
    </row>
    <row r="278" spans="1:5" x14ac:dyDescent="0.2">
      <c r="A278" s="178">
        <v>2025</v>
      </c>
      <c r="B278" t="s">
        <v>375</v>
      </c>
      <c r="C278" t="s">
        <v>93</v>
      </c>
      <c r="D278" t="s">
        <v>370</v>
      </c>
      <c r="E278" s="179">
        <f>BALANCE_SHEET!H12</f>
        <v>7500</v>
      </c>
    </row>
    <row r="279" spans="1:5" x14ac:dyDescent="0.2">
      <c r="A279" s="178">
        <v>2026</v>
      </c>
      <c r="B279" t="s">
        <v>375</v>
      </c>
      <c r="C279" t="s">
        <v>93</v>
      </c>
      <c r="D279" t="s">
        <v>370</v>
      </c>
      <c r="E279" s="179">
        <f>BALANCE_SHEET!I12</f>
        <v>7762.5</v>
      </c>
    </row>
    <row r="280" spans="1:5" x14ac:dyDescent="0.2">
      <c r="A280" s="178">
        <v>2027</v>
      </c>
      <c r="B280" t="s">
        <v>375</v>
      </c>
      <c r="C280" t="s">
        <v>93</v>
      </c>
      <c r="D280" t="s">
        <v>370</v>
      </c>
      <c r="E280" s="179">
        <f>BALANCE_SHEET!J12</f>
        <v>8034.1875</v>
      </c>
    </row>
    <row r="281" spans="1:5" x14ac:dyDescent="0.2">
      <c r="A281" s="178">
        <v>2028</v>
      </c>
      <c r="B281" t="s">
        <v>375</v>
      </c>
      <c r="C281" t="s">
        <v>93</v>
      </c>
      <c r="D281" t="s">
        <v>370</v>
      </c>
      <c r="E281" s="179">
        <f>BALANCE_SHEET!K12</f>
        <v>8315.3840624999993</v>
      </c>
    </row>
    <row r="282" spans="1:5" x14ac:dyDescent="0.2">
      <c r="A282" s="178">
        <v>2019</v>
      </c>
      <c r="B282" t="s">
        <v>375</v>
      </c>
      <c r="C282" t="s">
        <v>376</v>
      </c>
      <c r="D282" t="s">
        <v>370</v>
      </c>
      <c r="E282" s="179">
        <f>BALANCE_SHEET!B13</f>
        <v>135691.90747053319</v>
      </c>
    </row>
    <row r="283" spans="1:5" x14ac:dyDescent="0.2">
      <c r="A283" s="178">
        <v>2020</v>
      </c>
      <c r="B283" t="s">
        <v>375</v>
      </c>
      <c r="C283" t="s">
        <v>376</v>
      </c>
      <c r="D283" t="s">
        <v>370</v>
      </c>
      <c r="E283" s="179">
        <f>BALANCE_SHEET!C13</f>
        <v>140441.12423200184</v>
      </c>
    </row>
    <row r="284" spans="1:5" x14ac:dyDescent="0.2">
      <c r="A284" s="178">
        <v>2021</v>
      </c>
      <c r="B284" t="s">
        <v>375</v>
      </c>
      <c r="C284" t="s">
        <v>376</v>
      </c>
      <c r="D284" t="s">
        <v>370</v>
      </c>
      <c r="E284" s="179">
        <f>BALANCE_SHEET!D13</f>
        <v>145356.56358012187</v>
      </c>
    </row>
    <row r="285" spans="1:5" x14ac:dyDescent="0.2">
      <c r="A285" s="178">
        <v>2022</v>
      </c>
      <c r="B285" t="s">
        <v>375</v>
      </c>
      <c r="C285" t="s">
        <v>376</v>
      </c>
      <c r="D285" t="s">
        <v>370</v>
      </c>
      <c r="E285" s="179">
        <f>BALANCE_SHEET!E13</f>
        <v>150444.04330542617</v>
      </c>
    </row>
    <row r="286" spans="1:5" x14ac:dyDescent="0.2">
      <c r="A286" s="178">
        <v>2023</v>
      </c>
      <c r="B286" t="s">
        <v>375</v>
      </c>
      <c r="C286" t="s">
        <v>376</v>
      </c>
      <c r="D286" t="s">
        <v>370</v>
      </c>
      <c r="E286" s="179">
        <f>BALANCE_SHEET!F13</f>
        <v>155709.58482111603</v>
      </c>
    </row>
    <row r="287" spans="1:5" x14ac:dyDescent="0.2">
      <c r="A287" s="178">
        <v>2024</v>
      </c>
      <c r="B287" t="s">
        <v>375</v>
      </c>
      <c r="C287" t="s">
        <v>376</v>
      </c>
      <c r="D287" t="s">
        <v>370</v>
      </c>
      <c r="E287" s="179">
        <f>BALANCE_SHEET!G13</f>
        <v>161159.4202898551</v>
      </c>
    </row>
    <row r="288" spans="1:5" x14ac:dyDescent="0.2">
      <c r="A288" s="178">
        <v>2025</v>
      </c>
      <c r="B288" t="s">
        <v>375</v>
      </c>
      <c r="C288" t="s">
        <v>376</v>
      </c>
      <c r="D288" t="s">
        <v>370</v>
      </c>
      <c r="E288" s="179">
        <f>BALANCE_SHEET!H13</f>
        <v>166800</v>
      </c>
    </row>
    <row r="289" spans="1:5" x14ac:dyDescent="0.2">
      <c r="A289" s="178">
        <v>2026</v>
      </c>
      <c r="B289" t="s">
        <v>375</v>
      </c>
      <c r="C289" t="s">
        <v>376</v>
      </c>
      <c r="D289" t="s">
        <v>370</v>
      </c>
      <c r="E289" s="179">
        <f>BALANCE_SHEET!I13</f>
        <v>172638</v>
      </c>
    </row>
    <row r="290" spans="1:5" x14ac:dyDescent="0.2">
      <c r="A290" s="178">
        <v>2027</v>
      </c>
      <c r="B290" t="s">
        <v>375</v>
      </c>
      <c r="C290" t="s">
        <v>376</v>
      </c>
      <c r="D290" t="s">
        <v>370</v>
      </c>
      <c r="E290" s="179">
        <f>BALANCE_SHEET!J13</f>
        <v>178680.33</v>
      </c>
    </row>
    <row r="291" spans="1:5" x14ac:dyDescent="0.2">
      <c r="A291" s="178">
        <v>2028</v>
      </c>
      <c r="B291" t="s">
        <v>375</v>
      </c>
      <c r="C291" t="s">
        <v>376</v>
      </c>
      <c r="D291" t="s">
        <v>370</v>
      </c>
      <c r="E291" s="179">
        <f>BALANCE_SHEET!K13</f>
        <v>184934.14155</v>
      </c>
    </row>
    <row r="292" spans="1:5" x14ac:dyDescent="0.2">
      <c r="A292" s="178">
        <v>2019</v>
      </c>
      <c r="B292" t="s">
        <v>375</v>
      </c>
      <c r="C292" t="s">
        <v>96</v>
      </c>
      <c r="D292" t="s">
        <v>370</v>
      </c>
      <c r="E292" s="179">
        <f>BALANCE_SHEET!B15</f>
        <v>8000</v>
      </c>
    </row>
    <row r="293" spans="1:5" x14ac:dyDescent="0.2">
      <c r="A293" s="178">
        <v>2020</v>
      </c>
      <c r="B293" t="s">
        <v>375</v>
      </c>
      <c r="C293" t="s">
        <v>96</v>
      </c>
      <c r="D293" t="s">
        <v>370</v>
      </c>
      <c r="E293" s="179">
        <f>BALANCE_SHEET!C15</f>
        <v>8000</v>
      </c>
    </row>
    <row r="294" spans="1:5" x14ac:dyDescent="0.2">
      <c r="A294" s="178">
        <v>2021</v>
      </c>
      <c r="B294" t="s">
        <v>375</v>
      </c>
      <c r="C294" t="s">
        <v>96</v>
      </c>
      <c r="D294" t="s">
        <v>370</v>
      </c>
      <c r="E294" s="179">
        <f>BALANCE_SHEET!D15</f>
        <v>8000</v>
      </c>
    </row>
    <row r="295" spans="1:5" x14ac:dyDescent="0.2">
      <c r="A295" s="178">
        <v>2022</v>
      </c>
      <c r="B295" t="s">
        <v>375</v>
      </c>
      <c r="C295" t="s">
        <v>96</v>
      </c>
      <c r="D295" t="s">
        <v>370</v>
      </c>
      <c r="E295" s="179">
        <f>BALANCE_SHEET!E15</f>
        <v>8000</v>
      </c>
    </row>
    <row r="296" spans="1:5" x14ac:dyDescent="0.2">
      <c r="A296" s="178">
        <v>2023</v>
      </c>
      <c r="B296" t="s">
        <v>375</v>
      </c>
      <c r="C296" t="s">
        <v>96</v>
      </c>
      <c r="D296" t="s">
        <v>370</v>
      </c>
      <c r="E296" s="179">
        <f>BALANCE_SHEET!F15</f>
        <v>8000</v>
      </c>
    </row>
    <row r="297" spans="1:5" x14ac:dyDescent="0.2">
      <c r="A297" s="178">
        <v>2024</v>
      </c>
      <c r="B297" t="s">
        <v>375</v>
      </c>
      <c r="C297" t="s">
        <v>96</v>
      </c>
      <c r="D297" t="s">
        <v>370</v>
      </c>
      <c r="E297" s="179">
        <f>BALANCE_SHEET!G15</f>
        <v>8000</v>
      </c>
    </row>
    <row r="298" spans="1:5" x14ac:dyDescent="0.2">
      <c r="A298" s="178">
        <v>2025</v>
      </c>
      <c r="B298" t="s">
        <v>375</v>
      </c>
      <c r="C298" t="s">
        <v>96</v>
      </c>
      <c r="D298" t="s">
        <v>370</v>
      </c>
      <c r="E298" s="179">
        <f>BALANCE_SHEET!H15</f>
        <v>8000</v>
      </c>
    </row>
    <row r="299" spans="1:5" x14ac:dyDescent="0.2">
      <c r="A299" s="178">
        <v>2026</v>
      </c>
      <c r="B299" t="s">
        <v>375</v>
      </c>
      <c r="C299" t="s">
        <v>96</v>
      </c>
      <c r="D299" t="s">
        <v>370</v>
      </c>
      <c r="E299" s="179">
        <f>BALANCE_SHEET!I15</f>
        <v>8000</v>
      </c>
    </row>
    <row r="300" spans="1:5" x14ac:dyDescent="0.2">
      <c r="A300" s="178">
        <v>2027</v>
      </c>
      <c r="B300" t="s">
        <v>375</v>
      </c>
      <c r="C300" t="s">
        <v>96</v>
      </c>
      <c r="D300" t="s">
        <v>370</v>
      </c>
      <c r="E300" s="179">
        <f>BALANCE_SHEET!J15</f>
        <v>8000</v>
      </c>
    </row>
    <row r="301" spans="1:5" x14ac:dyDescent="0.2">
      <c r="A301" s="178">
        <v>2028</v>
      </c>
      <c r="B301" t="s">
        <v>375</v>
      </c>
      <c r="C301" t="s">
        <v>96</v>
      </c>
      <c r="D301" t="s">
        <v>370</v>
      </c>
      <c r="E301" s="179">
        <f>BALANCE_SHEET!K15</f>
        <v>8000</v>
      </c>
    </row>
    <row r="302" spans="1:5" x14ac:dyDescent="0.2">
      <c r="A302" s="178">
        <v>2019</v>
      </c>
      <c r="B302" t="s">
        <v>375</v>
      </c>
      <c r="C302" t="s">
        <v>97</v>
      </c>
      <c r="D302" t="s">
        <v>370</v>
      </c>
      <c r="E302" s="179">
        <f>BALANCE_SHEET!B16</f>
        <v>514.66702558967734</v>
      </c>
    </row>
    <row r="303" spans="1:5" x14ac:dyDescent="0.2">
      <c r="A303" s="178">
        <v>2020</v>
      </c>
      <c r="B303" t="s">
        <v>375</v>
      </c>
      <c r="C303" t="s">
        <v>97</v>
      </c>
      <c r="D303" t="s">
        <v>370</v>
      </c>
      <c r="E303" s="179">
        <f>BALANCE_SHEET!C16</f>
        <v>724.34293012686135</v>
      </c>
    </row>
    <row r="304" spans="1:5" x14ac:dyDescent="0.2">
      <c r="A304" s="178">
        <v>2021</v>
      </c>
      <c r="B304" t="s">
        <v>375</v>
      </c>
      <c r="C304" t="s">
        <v>97</v>
      </c>
      <c r="D304" t="s">
        <v>370</v>
      </c>
      <c r="E304" s="179">
        <f>BALANCE_SHEET!D16</f>
        <v>917.62871401741813</v>
      </c>
    </row>
    <row r="305" spans="1:5" x14ac:dyDescent="0.2">
      <c r="A305" s="178">
        <v>2022</v>
      </c>
      <c r="B305" t="s">
        <v>375</v>
      </c>
      <c r="C305" t="s">
        <v>97</v>
      </c>
      <c r="D305" t="s">
        <v>370</v>
      </c>
      <c r="E305" s="179">
        <f>BALANCE_SHEET!E16</f>
        <v>1439.2206760207932</v>
      </c>
    </row>
    <row r="306" spans="1:5" x14ac:dyDescent="0.2">
      <c r="A306" s="178">
        <v>2023</v>
      </c>
      <c r="B306" t="s">
        <v>375</v>
      </c>
      <c r="C306" t="s">
        <v>97</v>
      </c>
      <c r="D306" t="s">
        <v>370</v>
      </c>
      <c r="E306" s="179">
        <f>BALANCE_SHEET!F16</f>
        <v>2666.7444256171457</v>
      </c>
    </row>
    <row r="307" spans="1:5" x14ac:dyDescent="0.2">
      <c r="A307" s="178">
        <v>2024</v>
      </c>
      <c r="B307" t="s">
        <v>375</v>
      </c>
      <c r="C307" t="s">
        <v>97</v>
      </c>
      <c r="D307" t="s">
        <v>370</v>
      </c>
      <c r="E307" s="179">
        <f>BALANCE_SHEET!G16</f>
        <v>4041.719924563391</v>
      </c>
    </row>
    <row r="308" spans="1:5" x14ac:dyDescent="0.2">
      <c r="A308" s="178">
        <v>2025</v>
      </c>
      <c r="B308" t="s">
        <v>375</v>
      </c>
      <c r="C308" t="s">
        <v>97</v>
      </c>
      <c r="D308" t="s">
        <v>370</v>
      </c>
      <c r="E308" s="179">
        <f>BALANCE_SHEET!H16</f>
        <v>5263.3634530975896</v>
      </c>
    </row>
    <row r="309" spans="1:5" x14ac:dyDescent="0.2">
      <c r="A309" s="178">
        <v>2026</v>
      </c>
      <c r="B309" t="s">
        <v>375</v>
      </c>
      <c r="C309" t="s">
        <v>97</v>
      </c>
      <c r="D309" t="s">
        <v>370</v>
      </c>
      <c r="E309" s="179">
        <f>BALANCE_SHEET!I16</f>
        <v>6406.8669351565632</v>
      </c>
    </row>
    <row r="310" spans="1:5" x14ac:dyDescent="0.2">
      <c r="A310" s="178">
        <v>2027</v>
      </c>
      <c r="B310" t="s">
        <v>375</v>
      </c>
      <c r="C310" t="s">
        <v>97</v>
      </c>
      <c r="D310" t="s">
        <v>370</v>
      </c>
      <c r="E310" s="179">
        <f>BALANCE_SHEET!J16</f>
        <v>7595.0564560484017</v>
      </c>
    </row>
    <row r="311" spans="1:5" x14ac:dyDescent="0.2">
      <c r="A311" s="178">
        <v>2028</v>
      </c>
      <c r="B311" t="s">
        <v>375</v>
      </c>
      <c r="C311" t="s">
        <v>97</v>
      </c>
      <c r="D311" t="s">
        <v>370</v>
      </c>
      <c r="E311" s="179">
        <f>BALANCE_SHEET!K16</f>
        <v>8829.6359296410756</v>
      </c>
    </row>
    <row r="312" spans="1:5" x14ac:dyDescent="0.2">
      <c r="A312" s="178">
        <v>2019</v>
      </c>
      <c r="B312" t="s">
        <v>375</v>
      </c>
      <c r="C312" t="s">
        <v>221</v>
      </c>
      <c r="D312" t="s">
        <v>370</v>
      </c>
      <c r="E312" s="179">
        <f>BALANCE_SHEET!B17</f>
        <v>8514.667025589677</v>
      </c>
    </row>
    <row r="313" spans="1:5" x14ac:dyDescent="0.2">
      <c r="A313" s="178">
        <v>2020</v>
      </c>
      <c r="B313" t="s">
        <v>375</v>
      </c>
      <c r="C313" t="s">
        <v>221</v>
      </c>
      <c r="D313" t="s">
        <v>370</v>
      </c>
      <c r="E313" s="179">
        <f>BALANCE_SHEET!C17</f>
        <v>8724.3429301268607</v>
      </c>
    </row>
    <row r="314" spans="1:5" x14ac:dyDescent="0.2">
      <c r="A314" s="178">
        <v>2021</v>
      </c>
      <c r="B314" t="s">
        <v>375</v>
      </c>
      <c r="C314" t="s">
        <v>221</v>
      </c>
      <c r="D314" t="s">
        <v>370</v>
      </c>
      <c r="E314" s="179">
        <f>BALANCE_SHEET!D17</f>
        <v>8917.6287140174172</v>
      </c>
    </row>
    <row r="315" spans="1:5" x14ac:dyDescent="0.2">
      <c r="A315" s="178">
        <v>2022</v>
      </c>
      <c r="B315" t="s">
        <v>375</v>
      </c>
      <c r="C315" t="s">
        <v>221</v>
      </c>
      <c r="D315" t="s">
        <v>370</v>
      </c>
      <c r="E315" s="179">
        <f>BALANCE_SHEET!E17</f>
        <v>9439.2206760207937</v>
      </c>
    </row>
    <row r="316" spans="1:5" x14ac:dyDescent="0.2">
      <c r="A316" s="178">
        <v>2023</v>
      </c>
      <c r="B316" t="s">
        <v>375</v>
      </c>
      <c r="C316" t="s">
        <v>221</v>
      </c>
      <c r="D316" t="s">
        <v>370</v>
      </c>
      <c r="E316" s="179">
        <f>BALANCE_SHEET!F17</f>
        <v>10666.744425617146</v>
      </c>
    </row>
    <row r="317" spans="1:5" x14ac:dyDescent="0.2">
      <c r="A317" s="178">
        <v>2024</v>
      </c>
      <c r="B317" t="s">
        <v>375</v>
      </c>
      <c r="C317" t="s">
        <v>221</v>
      </c>
      <c r="D317" t="s">
        <v>370</v>
      </c>
      <c r="E317" s="179">
        <f>BALANCE_SHEET!G17</f>
        <v>12041.719924563391</v>
      </c>
    </row>
    <row r="318" spans="1:5" x14ac:dyDescent="0.2">
      <c r="A318" s="178">
        <v>2025</v>
      </c>
      <c r="B318" t="s">
        <v>375</v>
      </c>
      <c r="C318" t="s">
        <v>221</v>
      </c>
      <c r="D318" t="s">
        <v>370</v>
      </c>
      <c r="E318" s="179">
        <f>BALANCE_SHEET!H17</f>
        <v>13263.363453097591</v>
      </c>
    </row>
    <row r="319" spans="1:5" x14ac:dyDescent="0.2">
      <c r="A319" s="178">
        <v>2026</v>
      </c>
      <c r="B319" t="s">
        <v>375</v>
      </c>
      <c r="C319" t="s">
        <v>221</v>
      </c>
      <c r="D319" t="s">
        <v>370</v>
      </c>
      <c r="E319" s="179">
        <f>BALANCE_SHEET!I17</f>
        <v>14406.866935156562</v>
      </c>
    </row>
    <row r="320" spans="1:5" x14ac:dyDescent="0.2">
      <c r="A320" s="178">
        <v>2027</v>
      </c>
      <c r="B320" t="s">
        <v>375</v>
      </c>
      <c r="C320" t="s">
        <v>221</v>
      </c>
      <c r="D320" t="s">
        <v>370</v>
      </c>
      <c r="E320" s="179">
        <f>BALANCE_SHEET!J17</f>
        <v>15595.056456048402</v>
      </c>
    </row>
    <row r="321" spans="1:5" x14ac:dyDescent="0.2">
      <c r="A321" s="178">
        <v>2028</v>
      </c>
      <c r="B321" t="s">
        <v>375</v>
      </c>
      <c r="C321" t="s">
        <v>221</v>
      </c>
      <c r="D321" t="s">
        <v>370</v>
      </c>
      <c r="E321" s="179">
        <f>BALANCE_SHEET!K17</f>
        <v>16829.635929641074</v>
      </c>
    </row>
    <row r="322" spans="1:5" x14ac:dyDescent="0.2">
      <c r="A322" s="178">
        <v>2019</v>
      </c>
      <c r="B322" t="s">
        <v>375</v>
      </c>
      <c r="C322" t="s">
        <v>377</v>
      </c>
      <c r="D322" t="s">
        <v>370</v>
      </c>
      <c r="E322" s="179">
        <f>BALANCE_SHEET!B18</f>
        <v>144206.57449612286</v>
      </c>
    </row>
    <row r="323" spans="1:5" x14ac:dyDescent="0.2">
      <c r="A323" s="178">
        <v>2020</v>
      </c>
      <c r="B323" t="s">
        <v>375</v>
      </c>
      <c r="C323" t="s">
        <v>377</v>
      </c>
      <c r="D323" t="s">
        <v>370</v>
      </c>
      <c r="E323" s="179">
        <f>BALANCE_SHEET!C18</f>
        <v>149165.46716212868</v>
      </c>
    </row>
    <row r="324" spans="1:5" x14ac:dyDescent="0.2">
      <c r="A324" s="178">
        <v>2021</v>
      </c>
      <c r="B324" t="s">
        <v>375</v>
      </c>
      <c r="C324" t="s">
        <v>377</v>
      </c>
      <c r="D324" t="s">
        <v>370</v>
      </c>
      <c r="E324" s="179">
        <f>BALANCE_SHEET!D18</f>
        <v>154274.1922941393</v>
      </c>
    </row>
    <row r="325" spans="1:5" x14ac:dyDescent="0.2">
      <c r="A325" s="178">
        <v>2022</v>
      </c>
      <c r="B325" t="s">
        <v>375</v>
      </c>
      <c r="C325" t="s">
        <v>377</v>
      </c>
      <c r="D325" t="s">
        <v>370</v>
      </c>
      <c r="E325" s="179">
        <f>BALANCE_SHEET!E18</f>
        <v>159883.26398144697</v>
      </c>
    </row>
    <row r="326" spans="1:5" x14ac:dyDescent="0.2">
      <c r="A326" s="178">
        <v>2023</v>
      </c>
      <c r="B326" t="s">
        <v>375</v>
      </c>
      <c r="C326" t="s">
        <v>377</v>
      </c>
      <c r="D326" t="s">
        <v>370</v>
      </c>
      <c r="E326" s="179">
        <f>BALANCE_SHEET!F18</f>
        <v>166376.32924673319</v>
      </c>
    </row>
    <row r="327" spans="1:5" x14ac:dyDescent="0.2">
      <c r="A327" s="178">
        <v>2024</v>
      </c>
      <c r="B327" t="s">
        <v>375</v>
      </c>
      <c r="C327" t="s">
        <v>377</v>
      </c>
      <c r="D327" t="s">
        <v>370</v>
      </c>
      <c r="E327" s="179">
        <f>BALANCE_SHEET!G18</f>
        <v>173201.1402144185</v>
      </c>
    </row>
    <row r="328" spans="1:5" x14ac:dyDescent="0.2">
      <c r="A328" s="178">
        <v>2025</v>
      </c>
      <c r="B328" t="s">
        <v>375</v>
      </c>
      <c r="C328" t="s">
        <v>377</v>
      </c>
      <c r="D328" t="s">
        <v>370</v>
      </c>
      <c r="E328" s="179">
        <f>BALANCE_SHEET!H18</f>
        <v>180063.36345309758</v>
      </c>
    </row>
    <row r="329" spans="1:5" x14ac:dyDescent="0.2">
      <c r="A329" s="178">
        <v>2026</v>
      </c>
      <c r="B329" t="s">
        <v>375</v>
      </c>
      <c r="C329" t="s">
        <v>377</v>
      </c>
      <c r="D329" t="s">
        <v>370</v>
      </c>
      <c r="E329" s="179">
        <f>BALANCE_SHEET!I18</f>
        <v>187044.86693515658</v>
      </c>
    </row>
    <row r="330" spans="1:5" x14ac:dyDescent="0.2">
      <c r="A330" s="178">
        <v>2027</v>
      </c>
      <c r="B330" t="s">
        <v>375</v>
      </c>
      <c r="C330" t="s">
        <v>377</v>
      </c>
      <c r="D330" t="s">
        <v>370</v>
      </c>
      <c r="E330" s="179">
        <f>BALANCE_SHEET!J18</f>
        <v>194275.38645604838</v>
      </c>
    </row>
    <row r="331" spans="1:5" x14ac:dyDescent="0.2">
      <c r="A331" s="178">
        <v>2028</v>
      </c>
      <c r="B331" t="s">
        <v>375</v>
      </c>
      <c r="C331" t="s">
        <v>377</v>
      </c>
      <c r="D331" t="s">
        <v>370</v>
      </c>
      <c r="E331" s="179">
        <f>BALANCE_SHEET!K18</f>
        <v>201763.77747964108</v>
      </c>
    </row>
    <row r="332" spans="1:5" x14ac:dyDescent="0.2">
      <c r="A332" s="178">
        <v>2020</v>
      </c>
      <c r="B332" t="s">
        <v>378</v>
      </c>
      <c r="C332" t="s">
        <v>70</v>
      </c>
      <c r="D332" t="s">
        <v>370</v>
      </c>
      <c r="E332" s="179">
        <f>CASH_FLOW!C4</f>
        <v>349.45984089530674</v>
      </c>
    </row>
    <row r="333" spans="1:5" x14ac:dyDescent="0.2">
      <c r="A333" s="178">
        <v>2021</v>
      </c>
      <c r="B333" t="s">
        <v>378</v>
      </c>
      <c r="C333" t="s">
        <v>70</v>
      </c>
      <c r="D333" t="s">
        <v>370</v>
      </c>
      <c r="E333" s="179">
        <f>CASH_FLOW!D4</f>
        <v>322.14297315092796</v>
      </c>
    </row>
    <row r="334" spans="1:5" x14ac:dyDescent="0.2">
      <c r="A334" s="178">
        <v>2022</v>
      </c>
      <c r="B334" t="s">
        <v>378</v>
      </c>
      <c r="C334" t="s">
        <v>70</v>
      </c>
      <c r="D334" t="s">
        <v>370</v>
      </c>
      <c r="E334" s="179">
        <f>CASH_FLOW!E4</f>
        <v>869.31993667229187</v>
      </c>
    </row>
    <row r="335" spans="1:5" x14ac:dyDescent="0.2">
      <c r="A335" s="178">
        <v>2023</v>
      </c>
      <c r="B335" t="s">
        <v>378</v>
      </c>
      <c r="C335" t="s">
        <v>70</v>
      </c>
      <c r="D335" t="s">
        <v>370</v>
      </c>
      <c r="E335" s="179">
        <f>CASH_FLOW!F4</f>
        <v>2045.8729159939205</v>
      </c>
    </row>
    <row r="336" spans="1:5" x14ac:dyDescent="0.2">
      <c r="A336" s="178">
        <v>2024</v>
      </c>
      <c r="B336" t="s">
        <v>378</v>
      </c>
      <c r="C336" t="s">
        <v>70</v>
      </c>
      <c r="D336" t="s">
        <v>370</v>
      </c>
      <c r="E336" s="179">
        <f>CASH_FLOW!G4</f>
        <v>2291.6258315770756</v>
      </c>
    </row>
    <row r="337" spans="1:5" x14ac:dyDescent="0.2">
      <c r="A337" s="178">
        <v>2025</v>
      </c>
      <c r="B337" t="s">
        <v>378</v>
      </c>
      <c r="C337" t="s">
        <v>70</v>
      </c>
      <c r="D337" t="s">
        <v>370</v>
      </c>
      <c r="E337" s="179">
        <f>CASH_FLOW!H4</f>
        <v>2036.0725475569977</v>
      </c>
    </row>
    <row r="338" spans="1:5" x14ac:dyDescent="0.2">
      <c r="A338" s="178">
        <v>2026</v>
      </c>
      <c r="B338" t="s">
        <v>378</v>
      </c>
      <c r="C338" t="s">
        <v>70</v>
      </c>
      <c r="D338" t="s">
        <v>370</v>
      </c>
      <c r="E338" s="179">
        <f>CASH_FLOW!I4</f>
        <v>1905.8391367649565</v>
      </c>
    </row>
    <row r="339" spans="1:5" x14ac:dyDescent="0.2">
      <c r="A339" s="178">
        <v>2027</v>
      </c>
      <c r="B339" t="s">
        <v>378</v>
      </c>
      <c r="C339" t="s">
        <v>70</v>
      </c>
      <c r="D339" t="s">
        <v>370</v>
      </c>
      <c r="E339" s="179">
        <f>CASH_FLOW!J4</f>
        <v>1980.3158681530635</v>
      </c>
    </row>
    <row r="340" spans="1:5" x14ac:dyDescent="0.2">
      <c r="A340" s="178">
        <v>2028</v>
      </c>
      <c r="B340" t="s">
        <v>378</v>
      </c>
      <c r="C340" t="s">
        <v>70</v>
      </c>
      <c r="D340" t="s">
        <v>370</v>
      </c>
      <c r="E340" s="179">
        <f>CASH_FLOW!K4</f>
        <v>2057.6324559877908</v>
      </c>
    </row>
    <row r="341" spans="1:5" x14ac:dyDescent="0.2">
      <c r="A341" s="178">
        <v>2020</v>
      </c>
      <c r="B341" t="s">
        <v>378</v>
      </c>
      <c r="C341" t="s">
        <v>117</v>
      </c>
      <c r="D341" t="s">
        <v>370</v>
      </c>
      <c r="E341" s="179">
        <f>CASH_FLOW!C5</f>
        <v>3843.7905443541094</v>
      </c>
    </row>
    <row r="342" spans="1:5" x14ac:dyDescent="0.2">
      <c r="A342" s="178">
        <v>2021</v>
      </c>
      <c r="B342" t="s">
        <v>378</v>
      </c>
      <c r="C342" t="s">
        <v>117</v>
      </c>
      <c r="D342" t="s">
        <v>370</v>
      </c>
      <c r="E342" s="179">
        <f>CASH_FLOW!D5</f>
        <v>3978.3232134065183</v>
      </c>
    </row>
    <row r="343" spans="1:5" x14ac:dyDescent="0.2">
      <c r="A343" s="178">
        <v>2022</v>
      </c>
      <c r="B343" t="s">
        <v>378</v>
      </c>
      <c r="C343" t="s">
        <v>117</v>
      </c>
      <c r="D343" t="s">
        <v>370</v>
      </c>
      <c r="E343" s="179">
        <f>CASH_FLOW!E5</f>
        <v>4117.5645258757577</v>
      </c>
    </row>
    <row r="344" spans="1:5" x14ac:dyDescent="0.2">
      <c r="A344" s="178">
        <v>2023</v>
      </c>
      <c r="B344" t="s">
        <v>378</v>
      </c>
      <c r="C344" t="s">
        <v>117</v>
      </c>
      <c r="D344" t="s">
        <v>370</v>
      </c>
      <c r="E344" s="179">
        <f>CASH_FLOW!F5</f>
        <v>4261.6792842814029</v>
      </c>
    </row>
    <row r="345" spans="1:5" x14ac:dyDescent="0.2">
      <c r="A345" s="178">
        <v>2024</v>
      </c>
      <c r="B345" t="s">
        <v>378</v>
      </c>
      <c r="C345" t="s">
        <v>117</v>
      </c>
      <c r="D345" t="s">
        <v>370</v>
      </c>
      <c r="E345" s="179">
        <f>CASH_FLOW!G5</f>
        <v>4410.8380592312315</v>
      </c>
    </row>
    <row r="346" spans="1:5" x14ac:dyDescent="0.2">
      <c r="A346" s="178">
        <v>2025</v>
      </c>
      <c r="B346" t="s">
        <v>378</v>
      </c>
      <c r="C346" t="s">
        <v>117</v>
      </c>
      <c r="D346" t="s">
        <v>370</v>
      </c>
      <c r="E346" s="179">
        <f>CASH_FLOW!H5</f>
        <v>4565.2173913043371</v>
      </c>
    </row>
    <row r="347" spans="1:5" x14ac:dyDescent="0.2">
      <c r="A347" s="178">
        <v>2026</v>
      </c>
      <c r="B347" t="s">
        <v>378</v>
      </c>
      <c r="C347" t="s">
        <v>117</v>
      </c>
      <c r="D347" t="s">
        <v>370</v>
      </c>
      <c r="E347" s="179">
        <f>CASH_FLOW!I5</f>
        <v>4725</v>
      </c>
    </row>
    <row r="348" spans="1:5" x14ac:dyDescent="0.2">
      <c r="A348" s="178">
        <v>2027</v>
      </c>
      <c r="B348" t="s">
        <v>378</v>
      </c>
      <c r="C348" t="s">
        <v>117</v>
      </c>
      <c r="D348" t="s">
        <v>370</v>
      </c>
      <c r="E348" s="179">
        <f>CASH_FLOW!J5</f>
        <v>4890.375</v>
      </c>
    </row>
    <row r="349" spans="1:5" x14ac:dyDescent="0.2">
      <c r="A349" s="178">
        <v>2028</v>
      </c>
      <c r="B349" t="s">
        <v>378</v>
      </c>
      <c r="C349" t="s">
        <v>117</v>
      </c>
      <c r="D349" t="s">
        <v>370</v>
      </c>
      <c r="E349" s="179">
        <f>CASH_FLOW!K5</f>
        <v>5061.5381249999919</v>
      </c>
    </row>
    <row r="350" spans="1:5" x14ac:dyDescent="0.2">
      <c r="A350" s="178">
        <v>2020</v>
      </c>
      <c r="B350" t="s">
        <v>378</v>
      </c>
      <c r="C350" t="s">
        <v>118</v>
      </c>
      <c r="D350" t="s">
        <v>370</v>
      </c>
      <c r="E350" s="179">
        <f>CASH_FLOW!C6</f>
        <v>213.54391913078507</v>
      </c>
    </row>
    <row r="351" spans="1:5" x14ac:dyDescent="0.2">
      <c r="A351" s="178">
        <v>2021</v>
      </c>
      <c r="B351" t="s">
        <v>378</v>
      </c>
      <c r="C351" t="s">
        <v>118</v>
      </c>
      <c r="D351" t="s">
        <v>370</v>
      </c>
      <c r="E351" s="179">
        <f>CASH_FLOW!D6</f>
        <v>221.01795630036213</v>
      </c>
    </row>
    <row r="352" spans="1:5" x14ac:dyDescent="0.2">
      <c r="A352" s="178">
        <v>2022</v>
      </c>
      <c r="B352" t="s">
        <v>378</v>
      </c>
      <c r="C352" t="s">
        <v>118</v>
      </c>
      <c r="D352" t="s">
        <v>370</v>
      </c>
      <c r="E352" s="179">
        <f>CASH_FLOW!E6</f>
        <v>228.75358477087502</v>
      </c>
    </row>
    <row r="353" spans="1:5" x14ac:dyDescent="0.2">
      <c r="A353" s="178">
        <v>2023</v>
      </c>
      <c r="B353" t="s">
        <v>378</v>
      </c>
      <c r="C353" t="s">
        <v>118</v>
      </c>
      <c r="D353" t="s">
        <v>370</v>
      </c>
      <c r="E353" s="179">
        <f>CASH_FLOW!F6</f>
        <v>236.75996023785501</v>
      </c>
    </row>
    <row r="354" spans="1:5" x14ac:dyDescent="0.2">
      <c r="A354" s="178">
        <v>2024</v>
      </c>
      <c r="B354" t="s">
        <v>378</v>
      </c>
      <c r="C354" t="s">
        <v>118</v>
      </c>
      <c r="D354" t="s">
        <v>370</v>
      </c>
      <c r="E354" s="179">
        <f>CASH_FLOW!G6</f>
        <v>245.04655884618023</v>
      </c>
    </row>
    <row r="355" spans="1:5" x14ac:dyDescent="0.2">
      <c r="A355" s="178">
        <v>2025</v>
      </c>
      <c r="B355" t="s">
        <v>378</v>
      </c>
      <c r="C355" t="s">
        <v>118</v>
      </c>
      <c r="D355" t="s">
        <v>370</v>
      </c>
      <c r="E355" s="179">
        <f>CASH_FLOW!H6</f>
        <v>253.6231884057961</v>
      </c>
    </row>
    <row r="356" spans="1:5" x14ac:dyDescent="0.2">
      <c r="A356" s="178">
        <v>2026</v>
      </c>
      <c r="B356" t="s">
        <v>378</v>
      </c>
      <c r="C356" t="s">
        <v>118</v>
      </c>
      <c r="D356" t="s">
        <v>370</v>
      </c>
      <c r="E356" s="179">
        <f>CASH_FLOW!I6</f>
        <v>262.5</v>
      </c>
    </row>
    <row r="357" spans="1:5" x14ac:dyDescent="0.2">
      <c r="A357" s="178">
        <v>2027</v>
      </c>
      <c r="B357" t="s">
        <v>378</v>
      </c>
      <c r="C357" t="s">
        <v>118</v>
      </c>
      <c r="D357" t="s">
        <v>370</v>
      </c>
      <c r="E357" s="179">
        <f>CASH_FLOW!J6</f>
        <v>271.6875</v>
      </c>
    </row>
    <row r="358" spans="1:5" x14ac:dyDescent="0.2">
      <c r="A358" s="178">
        <v>2028</v>
      </c>
      <c r="B358" t="s">
        <v>378</v>
      </c>
      <c r="C358" t="s">
        <v>118</v>
      </c>
      <c r="D358" t="s">
        <v>370</v>
      </c>
      <c r="E358" s="179">
        <f>CASH_FLOW!K6</f>
        <v>281.19656249999935</v>
      </c>
    </row>
    <row r="359" spans="1:5" x14ac:dyDescent="0.2">
      <c r="A359" s="178">
        <v>2020</v>
      </c>
      <c r="B359" t="s">
        <v>378</v>
      </c>
      <c r="C359" t="s">
        <v>119</v>
      </c>
      <c r="D359" t="s">
        <v>370</v>
      </c>
      <c r="E359" s="179">
        <f>CASH_FLOW!C7</f>
        <v>-128.1263514784705</v>
      </c>
    </row>
    <row r="360" spans="1:5" x14ac:dyDescent="0.2">
      <c r="A360" s="178">
        <v>2021</v>
      </c>
      <c r="B360" t="s">
        <v>378</v>
      </c>
      <c r="C360" t="s">
        <v>119</v>
      </c>
      <c r="D360" t="s">
        <v>370</v>
      </c>
      <c r="E360" s="179">
        <f>CASH_FLOW!D7</f>
        <v>-132.61077378021719</v>
      </c>
    </row>
    <row r="361" spans="1:5" x14ac:dyDescent="0.2">
      <c r="A361" s="178">
        <v>2022</v>
      </c>
      <c r="B361" t="s">
        <v>378</v>
      </c>
      <c r="C361" t="s">
        <v>119</v>
      </c>
      <c r="D361" t="s">
        <v>370</v>
      </c>
      <c r="E361" s="179">
        <f>CASH_FLOW!E7</f>
        <v>-137.25215086252501</v>
      </c>
    </row>
    <row r="362" spans="1:5" x14ac:dyDescent="0.2">
      <c r="A362" s="178">
        <v>2023</v>
      </c>
      <c r="B362" t="s">
        <v>378</v>
      </c>
      <c r="C362" t="s">
        <v>119</v>
      </c>
      <c r="D362" t="s">
        <v>370</v>
      </c>
      <c r="E362" s="179">
        <f>CASH_FLOW!F7</f>
        <v>-142.05597614271392</v>
      </c>
    </row>
    <row r="363" spans="1:5" x14ac:dyDescent="0.2">
      <c r="A363" s="178">
        <v>2024</v>
      </c>
      <c r="B363" t="s">
        <v>378</v>
      </c>
      <c r="C363" t="s">
        <v>119</v>
      </c>
      <c r="D363" t="s">
        <v>370</v>
      </c>
      <c r="E363" s="179">
        <f>CASH_FLOW!G7</f>
        <v>-147.02793530770759</v>
      </c>
    </row>
    <row r="364" spans="1:5" x14ac:dyDescent="0.2">
      <c r="A364" s="178">
        <v>2025</v>
      </c>
      <c r="B364" t="s">
        <v>378</v>
      </c>
      <c r="C364" t="s">
        <v>119</v>
      </c>
      <c r="D364" t="s">
        <v>370</v>
      </c>
      <c r="E364" s="179">
        <f>CASH_FLOW!H7</f>
        <v>-152.17391304347802</v>
      </c>
    </row>
    <row r="365" spans="1:5" x14ac:dyDescent="0.2">
      <c r="A365" s="178">
        <v>2026</v>
      </c>
      <c r="B365" t="s">
        <v>378</v>
      </c>
      <c r="C365" t="s">
        <v>119</v>
      </c>
      <c r="D365" t="s">
        <v>370</v>
      </c>
      <c r="E365" s="179">
        <f>CASH_FLOW!I7</f>
        <v>-157.5</v>
      </c>
    </row>
    <row r="366" spans="1:5" x14ac:dyDescent="0.2">
      <c r="A366" s="178">
        <v>2027</v>
      </c>
      <c r="B366" t="s">
        <v>378</v>
      </c>
      <c r="C366" t="s">
        <v>119</v>
      </c>
      <c r="D366" t="s">
        <v>370</v>
      </c>
      <c r="E366" s="179">
        <f>CASH_FLOW!J7</f>
        <v>-163.01249999999982</v>
      </c>
    </row>
    <row r="367" spans="1:5" x14ac:dyDescent="0.2">
      <c r="A367" s="178">
        <v>2028</v>
      </c>
      <c r="B367" t="s">
        <v>378</v>
      </c>
      <c r="C367" t="s">
        <v>119</v>
      </c>
      <c r="D367" t="s">
        <v>370</v>
      </c>
      <c r="E367" s="179">
        <f>CASH_FLOW!K7</f>
        <v>-168.71793749999961</v>
      </c>
    </row>
    <row r="368" spans="1:5" x14ac:dyDescent="0.2">
      <c r="A368" s="178">
        <v>2020</v>
      </c>
      <c r="B368" t="s">
        <v>378</v>
      </c>
      <c r="C368" t="s">
        <v>379</v>
      </c>
      <c r="D368" t="s">
        <v>370</v>
      </c>
      <c r="E368" s="179">
        <f>CASH_FLOW!C8</f>
        <v>4278.667952901731</v>
      </c>
    </row>
    <row r="369" spans="1:5" x14ac:dyDescent="0.2">
      <c r="A369" s="178">
        <v>2021</v>
      </c>
      <c r="B369" t="s">
        <v>378</v>
      </c>
      <c r="C369" t="s">
        <v>379</v>
      </c>
      <c r="D369" t="s">
        <v>370</v>
      </c>
      <c r="E369" s="179">
        <f>CASH_FLOW!D8</f>
        <v>4388.8733690775916</v>
      </c>
    </row>
    <row r="370" spans="1:5" x14ac:dyDescent="0.2">
      <c r="A370" s="178">
        <v>2022</v>
      </c>
      <c r="B370" t="s">
        <v>378</v>
      </c>
      <c r="C370" t="s">
        <v>379</v>
      </c>
      <c r="D370" t="s">
        <v>370</v>
      </c>
      <c r="E370" s="179">
        <f>CASH_FLOW!E8</f>
        <v>5078.3858964563997</v>
      </c>
    </row>
    <row r="371" spans="1:5" x14ac:dyDescent="0.2">
      <c r="A371" s="178">
        <v>2023</v>
      </c>
      <c r="B371" t="s">
        <v>378</v>
      </c>
      <c r="C371" t="s">
        <v>379</v>
      </c>
      <c r="D371" t="s">
        <v>370</v>
      </c>
      <c r="E371" s="179">
        <f>CASH_FLOW!F8</f>
        <v>6402.2561843704643</v>
      </c>
    </row>
    <row r="372" spans="1:5" x14ac:dyDescent="0.2">
      <c r="A372" s="178">
        <v>2024</v>
      </c>
      <c r="B372" t="s">
        <v>378</v>
      </c>
      <c r="C372" t="s">
        <v>379</v>
      </c>
      <c r="D372" t="s">
        <v>370</v>
      </c>
      <c r="E372" s="179">
        <f>CASH_FLOW!G8</f>
        <v>6800.4825143467797</v>
      </c>
    </row>
    <row r="373" spans="1:5" x14ac:dyDescent="0.2">
      <c r="A373" s="178">
        <v>2025</v>
      </c>
      <c r="B373" t="s">
        <v>378</v>
      </c>
      <c r="C373" t="s">
        <v>379</v>
      </c>
      <c r="D373" t="s">
        <v>370</v>
      </c>
      <c r="E373" s="179">
        <f>CASH_FLOW!H8</f>
        <v>6702.7392142236531</v>
      </c>
    </row>
    <row r="374" spans="1:5" x14ac:dyDescent="0.2">
      <c r="A374" s="178">
        <v>2026</v>
      </c>
      <c r="B374" t="s">
        <v>378</v>
      </c>
      <c r="C374" t="s">
        <v>379</v>
      </c>
      <c r="D374" t="s">
        <v>370</v>
      </c>
      <c r="E374" s="179">
        <f>CASH_FLOW!I8</f>
        <v>6735.8391367649565</v>
      </c>
    </row>
    <row r="375" spans="1:5" x14ac:dyDescent="0.2">
      <c r="A375" s="178">
        <v>2027</v>
      </c>
      <c r="B375" t="s">
        <v>378</v>
      </c>
      <c r="C375" t="s">
        <v>379</v>
      </c>
      <c r="D375" t="s">
        <v>370</v>
      </c>
      <c r="E375" s="179">
        <f>CASH_FLOW!J8</f>
        <v>6979.3658681530642</v>
      </c>
    </row>
    <row r="376" spans="1:5" x14ac:dyDescent="0.2">
      <c r="A376" s="178">
        <v>2028</v>
      </c>
      <c r="B376" t="s">
        <v>378</v>
      </c>
      <c r="C376" t="s">
        <v>379</v>
      </c>
      <c r="D376" t="s">
        <v>370</v>
      </c>
      <c r="E376" s="179">
        <f>CASH_FLOW!K8</f>
        <v>7231.6492059877819</v>
      </c>
    </row>
    <row r="377" spans="1:5" x14ac:dyDescent="0.2">
      <c r="A377" s="178">
        <v>2020</v>
      </c>
      <c r="B377" t="s">
        <v>378</v>
      </c>
      <c r="C377" t="s">
        <v>122</v>
      </c>
      <c r="D377" t="s">
        <v>370</v>
      </c>
      <c r="E377" s="179">
        <f>CASH_FLOW!C10</f>
        <v>-4270.8783826156869</v>
      </c>
    </row>
    <row r="378" spans="1:5" x14ac:dyDescent="0.2">
      <c r="A378" s="178">
        <v>2021</v>
      </c>
      <c r="B378" t="s">
        <v>378</v>
      </c>
      <c r="C378" t="s">
        <v>122</v>
      </c>
      <c r="D378" t="s">
        <v>370</v>
      </c>
      <c r="E378" s="179">
        <f>CASH_FLOW!D10</f>
        <v>-4420.3591260072426</v>
      </c>
    </row>
    <row r="379" spans="1:5" x14ac:dyDescent="0.2">
      <c r="A379" s="178">
        <v>2022</v>
      </c>
      <c r="B379" t="s">
        <v>378</v>
      </c>
      <c r="C379" t="s">
        <v>122</v>
      </c>
      <c r="D379" t="s">
        <v>370</v>
      </c>
      <c r="E379" s="179">
        <f>CASH_FLOW!E10</f>
        <v>-4575.0716954175005</v>
      </c>
    </row>
    <row r="380" spans="1:5" x14ac:dyDescent="0.2">
      <c r="A380" s="178">
        <v>2023</v>
      </c>
      <c r="B380" t="s">
        <v>378</v>
      </c>
      <c r="C380" t="s">
        <v>122</v>
      </c>
      <c r="D380" t="s">
        <v>370</v>
      </c>
      <c r="E380" s="179">
        <f>CASH_FLOW!F10</f>
        <v>-4735.1992047571111</v>
      </c>
    </row>
    <row r="381" spans="1:5" x14ac:dyDescent="0.2">
      <c r="A381" s="178">
        <v>2024</v>
      </c>
      <c r="B381" t="s">
        <v>378</v>
      </c>
      <c r="C381" t="s">
        <v>122</v>
      </c>
      <c r="D381" t="s">
        <v>370</v>
      </c>
      <c r="E381" s="179">
        <f>CASH_FLOW!G10</f>
        <v>-4900.9311769235937</v>
      </c>
    </row>
    <row r="382" spans="1:5" x14ac:dyDescent="0.2">
      <c r="A382" s="178">
        <v>2025</v>
      </c>
      <c r="B382" t="s">
        <v>378</v>
      </c>
      <c r="C382" t="s">
        <v>122</v>
      </c>
      <c r="D382" t="s">
        <v>370</v>
      </c>
      <c r="E382" s="179">
        <f>CASH_FLOW!H10</f>
        <v>-5072.4637681159365</v>
      </c>
    </row>
    <row r="383" spans="1:5" x14ac:dyDescent="0.2">
      <c r="A383" s="178">
        <v>2026</v>
      </c>
      <c r="B383" t="s">
        <v>378</v>
      </c>
      <c r="C383" t="s">
        <v>122</v>
      </c>
      <c r="D383" t="s">
        <v>370</v>
      </c>
      <c r="E383" s="179">
        <f>CASH_FLOW!I10</f>
        <v>-5250</v>
      </c>
    </row>
    <row r="384" spans="1:5" x14ac:dyDescent="0.2">
      <c r="A384" s="178">
        <v>2027</v>
      </c>
      <c r="B384" t="s">
        <v>378</v>
      </c>
      <c r="C384" t="s">
        <v>122</v>
      </c>
      <c r="D384" t="s">
        <v>370</v>
      </c>
      <c r="E384" s="179">
        <f>CASH_FLOW!J10</f>
        <v>-5433.75</v>
      </c>
    </row>
    <row r="385" spans="1:5" x14ac:dyDescent="0.2">
      <c r="A385" s="178">
        <v>2028</v>
      </c>
      <c r="B385" t="s">
        <v>378</v>
      </c>
      <c r="C385" t="s">
        <v>122</v>
      </c>
      <c r="D385" t="s">
        <v>370</v>
      </c>
      <c r="E385" s="179">
        <f>CASH_FLOW!K10</f>
        <v>-5623.9312499999942</v>
      </c>
    </row>
    <row r="386" spans="1:5" x14ac:dyDescent="0.2">
      <c r="A386" s="178">
        <v>2020</v>
      </c>
      <c r="B386" t="s">
        <v>378</v>
      </c>
      <c r="C386" t="s">
        <v>123</v>
      </c>
      <c r="D386" t="s">
        <v>370</v>
      </c>
      <c r="E386" s="179">
        <f>CASH_FLOW!C11</f>
        <v>-128.1263514784705</v>
      </c>
    </row>
    <row r="387" spans="1:5" x14ac:dyDescent="0.2">
      <c r="A387" s="178">
        <v>2021</v>
      </c>
      <c r="B387" t="s">
        <v>378</v>
      </c>
      <c r="C387" t="s">
        <v>123</v>
      </c>
      <c r="D387" t="s">
        <v>370</v>
      </c>
      <c r="E387" s="179">
        <f>CASH_FLOW!D11</f>
        <v>-132.61077378021719</v>
      </c>
    </row>
    <row r="388" spans="1:5" x14ac:dyDescent="0.2">
      <c r="A388" s="178">
        <v>2022</v>
      </c>
      <c r="B388" t="s">
        <v>378</v>
      </c>
      <c r="C388" t="s">
        <v>123</v>
      </c>
      <c r="D388" t="s">
        <v>370</v>
      </c>
      <c r="E388" s="179">
        <f>CASH_FLOW!E11</f>
        <v>-137.25215086252501</v>
      </c>
    </row>
    <row r="389" spans="1:5" x14ac:dyDescent="0.2">
      <c r="A389" s="178">
        <v>2023</v>
      </c>
      <c r="B389" t="s">
        <v>378</v>
      </c>
      <c r="C389" t="s">
        <v>123</v>
      </c>
      <c r="D389" t="s">
        <v>370</v>
      </c>
      <c r="E389" s="179">
        <f>CASH_FLOW!F11</f>
        <v>-142.05597614271392</v>
      </c>
    </row>
    <row r="390" spans="1:5" x14ac:dyDescent="0.2">
      <c r="A390" s="178">
        <v>2024</v>
      </c>
      <c r="B390" t="s">
        <v>378</v>
      </c>
      <c r="C390" t="s">
        <v>123</v>
      </c>
      <c r="D390" t="s">
        <v>370</v>
      </c>
      <c r="E390" s="179">
        <f>CASH_FLOW!G11</f>
        <v>-147.02793530770759</v>
      </c>
    </row>
    <row r="391" spans="1:5" x14ac:dyDescent="0.2">
      <c r="A391" s="178">
        <v>2025</v>
      </c>
      <c r="B391" t="s">
        <v>378</v>
      </c>
      <c r="C391" t="s">
        <v>123</v>
      </c>
      <c r="D391" t="s">
        <v>370</v>
      </c>
      <c r="E391" s="179">
        <f>CASH_FLOW!H11</f>
        <v>-152.17391304347802</v>
      </c>
    </row>
    <row r="392" spans="1:5" x14ac:dyDescent="0.2">
      <c r="A392" s="178">
        <v>2026</v>
      </c>
      <c r="B392" t="s">
        <v>378</v>
      </c>
      <c r="C392" t="s">
        <v>123</v>
      </c>
      <c r="D392" t="s">
        <v>370</v>
      </c>
      <c r="E392" s="179">
        <f>CASH_FLOW!I11</f>
        <v>-157.5</v>
      </c>
    </row>
    <row r="393" spans="1:5" x14ac:dyDescent="0.2">
      <c r="A393" s="178">
        <v>2027</v>
      </c>
      <c r="B393" t="s">
        <v>378</v>
      </c>
      <c r="C393" t="s">
        <v>123</v>
      </c>
      <c r="D393" t="s">
        <v>370</v>
      </c>
      <c r="E393" s="179">
        <f>CASH_FLOW!J11</f>
        <v>-163.01249999999982</v>
      </c>
    </row>
    <row r="394" spans="1:5" x14ac:dyDescent="0.2">
      <c r="A394" s="178">
        <v>2028</v>
      </c>
      <c r="B394" t="s">
        <v>378</v>
      </c>
      <c r="C394" t="s">
        <v>123</v>
      </c>
      <c r="D394" t="s">
        <v>370</v>
      </c>
      <c r="E394" s="179">
        <f>CASH_FLOW!K11</f>
        <v>-168.71793749999961</v>
      </c>
    </row>
    <row r="395" spans="1:5" x14ac:dyDescent="0.2">
      <c r="A395" s="178">
        <v>2020</v>
      </c>
      <c r="B395" t="s">
        <v>378</v>
      </c>
      <c r="C395" t="s">
        <v>380</v>
      </c>
      <c r="D395" t="s">
        <v>370</v>
      </c>
      <c r="E395" s="179">
        <f>CASH_FLOW!C12</f>
        <v>-4399.0047340941574</v>
      </c>
    </row>
    <row r="396" spans="1:5" x14ac:dyDescent="0.2">
      <c r="A396" s="178">
        <v>2021</v>
      </c>
      <c r="B396" t="s">
        <v>378</v>
      </c>
      <c r="C396" t="s">
        <v>380</v>
      </c>
      <c r="D396" t="s">
        <v>370</v>
      </c>
      <c r="E396" s="179">
        <f>CASH_FLOW!D12</f>
        <v>-4552.9698997874602</v>
      </c>
    </row>
    <row r="397" spans="1:5" x14ac:dyDescent="0.2">
      <c r="A397" s="178">
        <v>2022</v>
      </c>
      <c r="B397" t="s">
        <v>378</v>
      </c>
      <c r="C397" t="s">
        <v>380</v>
      </c>
      <c r="D397" t="s">
        <v>370</v>
      </c>
      <c r="E397" s="179">
        <f>CASH_FLOW!E12</f>
        <v>-4712.3238462800255</v>
      </c>
    </row>
    <row r="398" spans="1:5" x14ac:dyDescent="0.2">
      <c r="A398" s="178">
        <v>2023</v>
      </c>
      <c r="B398" t="s">
        <v>378</v>
      </c>
      <c r="C398" t="s">
        <v>380</v>
      </c>
      <c r="D398" t="s">
        <v>370</v>
      </c>
      <c r="E398" s="179">
        <f>CASH_FLOW!F12</f>
        <v>-4877.2551808998251</v>
      </c>
    </row>
    <row r="399" spans="1:5" x14ac:dyDescent="0.2">
      <c r="A399" s="178">
        <v>2024</v>
      </c>
      <c r="B399" t="s">
        <v>378</v>
      </c>
      <c r="C399" t="s">
        <v>380</v>
      </c>
      <c r="D399" t="s">
        <v>370</v>
      </c>
      <c r="E399" s="179">
        <f>CASH_FLOW!G12</f>
        <v>-5047.9591122313013</v>
      </c>
    </row>
    <row r="400" spans="1:5" x14ac:dyDescent="0.2">
      <c r="A400" s="178">
        <v>2025</v>
      </c>
      <c r="B400" t="s">
        <v>378</v>
      </c>
      <c r="C400" t="s">
        <v>380</v>
      </c>
      <c r="D400" t="s">
        <v>370</v>
      </c>
      <c r="E400" s="179">
        <f>CASH_FLOW!H12</f>
        <v>-5224.6376811594146</v>
      </c>
    </row>
    <row r="401" spans="1:5" x14ac:dyDescent="0.2">
      <c r="A401" s="178">
        <v>2026</v>
      </c>
      <c r="B401" t="s">
        <v>378</v>
      </c>
      <c r="C401" t="s">
        <v>380</v>
      </c>
      <c r="D401" t="s">
        <v>370</v>
      </c>
      <c r="E401" s="179">
        <f>CASH_FLOW!I12</f>
        <v>-5407.5</v>
      </c>
    </row>
    <row r="402" spans="1:5" x14ac:dyDescent="0.2">
      <c r="A402" s="178">
        <v>2027</v>
      </c>
      <c r="B402" t="s">
        <v>378</v>
      </c>
      <c r="C402" t="s">
        <v>380</v>
      </c>
      <c r="D402" t="s">
        <v>370</v>
      </c>
      <c r="E402" s="179">
        <f>CASH_FLOW!J12</f>
        <v>-5596.7624999999998</v>
      </c>
    </row>
    <row r="403" spans="1:5" x14ac:dyDescent="0.2">
      <c r="A403" s="178">
        <v>2028</v>
      </c>
      <c r="B403" t="s">
        <v>378</v>
      </c>
      <c r="C403" t="s">
        <v>380</v>
      </c>
      <c r="D403" t="s">
        <v>370</v>
      </c>
      <c r="E403" s="179">
        <f>CASH_FLOW!K12</f>
        <v>-5792.6491874999938</v>
      </c>
    </row>
    <row r="404" spans="1:5" x14ac:dyDescent="0.2">
      <c r="A404" s="178">
        <v>2020</v>
      </c>
      <c r="B404" t="s">
        <v>378</v>
      </c>
      <c r="C404" t="s">
        <v>126</v>
      </c>
      <c r="D404" t="s">
        <v>370</v>
      </c>
      <c r="E404" s="179">
        <f>CASH_FLOW!C14</f>
        <v>-139.7839363581227</v>
      </c>
    </row>
    <row r="405" spans="1:5" x14ac:dyDescent="0.2">
      <c r="A405" s="178">
        <v>2021</v>
      </c>
      <c r="B405" t="s">
        <v>378</v>
      </c>
      <c r="C405" t="s">
        <v>126</v>
      </c>
      <c r="D405" t="s">
        <v>370</v>
      </c>
      <c r="E405" s="179">
        <f>CASH_FLOW!D14</f>
        <v>-128.8571892603712</v>
      </c>
    </row>
    <row r="406" spans="1:5" x14ac:dyDescent="0.2">
      <c r="A406" s="178">
        <v>2022</v>
      </c>
      <c r="B406" t="s">
        <v>378</v>
      </c>
      <c r="C406" t="s">
        <v>126</v>
      </c>
      <c r="D406" t="s">
        <v>370</v>
      </c>
      <c r="E406" s="179">
        <f>CASH_FLOW!E14</f>
        <v>-347.72797466891677</v>
      </c>
    </row>
    <row r="407" spans="1:5" x14ac:dyDescent="0.2">
      <c r="A407" s="178">
        <v>2023</v>
      </c>
      <c r="B407" t="s">
        <v>378</v>
      </c>
      <c r="C407" t="s">
        <v>126</v>
      </c>
      <c r="D407" t="s">
        <v>370</v>
      </c>
      <c r="E407" s="179">
        <f>CASH_FLOW!F14</f>
        <v>-818.3491663975683</v>
      </c>
    </row>
    <row r="408" spans="1:5" x14ac:dyDescent="0.2">
      <c r="A408" s="178">
        <v>2024</v>
      </c>
      <c r="B408" t="s">
        <v>378</v>
      </c>
      <c r="C408" t="s">
        <v>126</v>
      </c>
      <c r="D408" t="s">
        <v>370</v>
      </c>
      <c r="E408" s="179">
        <f>CASH_FLOW!G14</f>
        <v>-916.65033263083023</v>
      </c>
    </row>
    <row r="409" spans="1:5" x14ac:dyDescent="0.2">
      <c r="A409" s="178">
        <v>2025</v>
      </c>
      <c r="B409" t="s">
        <v>378</v>
      </c>
      <c r="C409" t="s">
        <v>126</v>
      </c>
      <c r="D409" t="s">
        <v>370</v>
      </c>
      <c r="E409" s="179">
        <f>CASH_FLOW!H14</f>
        <v>-814.42901902279914</v>
      </c>
    </row>
    <row r="410" spans="1:5" x14ac:dyDescent="0.2">
      <c r="A410" s="178">
        <v>2026</v>
      </c>
      <c r="B410" t="s">
        <v>378</v>
      </c>
      <c r="C410" t="s">
        <v>126</v>
      </c>
      <c r="D410" t="s">
        <v>370</v>
      </c>
      <c r="E410" s="179">
        <f>CASH_FLOW!I14</f>
        <v>-762.33565470598262</v>
      </c>
    </row>
    <row r="411" spans="1:5" x14ac:dyDescent="0.2">
      <c r="A411" s="178">
        <v>2027</v>
      </c>
      <c r="B411" t="s">
        <v>378</v>
      </c>
      <c r="C411" t="s">
        <v>126</v>
      </c>
      <c r="D411" t="s">
        <v>370</v>
      </c>
      <c r="E411" s="179">
        <f>CASH_FLOW!J14</f>
        <v>-792.12634726122542</v>
      </c>
    </row>
    <row r="412" spans="1:5" x14ac:dyDescent="0.2">
      <c r="A412" s="178">
        <v>2028</v>
      </c>
      <c r="B412" t="s">
        <v>378</v>
      </c>
      <c r="C412" t="s">
        <v>126</v>
      </c>
      <c r="D412" t="s">
        <v>370</v>
      </c>
      <c r="E412" s="179">
        <f>CASH_FLOW!K14</f>
        <v>-823.05298239511637</v>
      </c>
    </row>
    <row r="413" spans="1:5" x14ac:dyDescent="0.2">
      <c r="A413" s="178">
        <v>2020</v>
      </c>
      <c r="B413" t="s">
        <v>378</v>
      </c>
      <c r="C413" t="s">
        <v>127</v>
      </c>
      <c r="D413" t="s">
        <v>370</v>
      </c>
      <c r="E413" s="179">
        <f>CASH_FLOW!C15</f>
        <v>691.88229798373868</v>
      </c>
    </row>
    <row r="414" spans="1:5" x14ac:dyDescent="0.2">
      <c r="A414" s="178">
        <v>2021</v>
      </c>
      <c r="B414" t="s">
        <v>378</v>
      </c>
      <c r="C414" t="s">
        <v>127</v>
      </c>
      <c r="D414" t="s">
        <v>370</v>
      </c>
      <c r="E414" s="179">
        <f>CASH_FLOW!D15</f>
        <v>716.09817841317636</v>
      </c>
    </row>
    <row r="415" spans="1:5" x14ac:dyDescent="0.2">
      <c r="A415" s="178">
        <v>2022</v>
      </c>
      <c r="B415" t="s">
        <v>378</v>
      </c>
      <c r="C415" t="s">
        <v>127</v>
      </c>
      <c r="D415" t="s">
        <v>370</v>
      </c>
      <c r="E415" s="179">
        <f>CASH_FLOW!E15</f>
        <v>741.16161465763435</v>
      </c>
    </row>
    <row r="416" spans="1:5" x14ac:dyDescent="0.2">
      <c r="A416" s="178">
        <v>2023</v>
      </c>
      <c r="B416" t="s">
        <v>378</v>
      </c>
      <c r="C416" t="s">
        <v>127</v>
      </c>
      <c r="D416" t="s">
        <v>370</v>
      </c>
      <c r="E416" s="179">
        <f>CASH_FLOW!F15</f>
        <v>767.10227117065369</v>
      </c>
    </row>
    <row r="417" spans="1:5" x14ac:dyDescent="0.2">
      <c r="A417" s="178">
        <v>2024</v>
      </c>
      <c r="B417" t="s">
        <v>378</v>
      </c>
      <c r="C417" t="s">
        <v>127</v>
      </c>
      <c r="D417" t="s">
        <v>370</v>
      </c>
      <c r="E417" s="179">
        <f>CASH_FLOW!G15</f>
        <v>793.9508506616221</v>
      </c>
    </row>
    <row r="418" spans="1:5" x14ac:dyDescent="0.2">
      <c r="A418" s="178">
        <v>2025</v>
      </c>
      <c r="B418" t="s">
        <v>378</v>
      </c>
      <c r="C418" t="s">
        <v>127</v>
      </c>
      <c r="D418" t="s">
        <v>370</v>
      </c>
      <c r="E418" s="179">
        <f>CASH_FLOW!H15</f>
        <v>821.73913043478024</v>
      </c>
    </row>
    <row r="419" spans="1:5" x14ac:dyDescent="0.2">
      <c r="A419" s="178">
        <v>2026</v>
      </c>
      <c r="B419" t="s">
        <v>378</v>
      </c>
      <c r="C419" t="s">
        <v>127</v>
      </c>
      <c r="D419" t="s">
        <v>370</v>
      </c>
      <c r="E419" s="179">
        <f>CASH_FLOW!I15</f>
        <v>850.5</v>
      </c>
    </row>
    <row r="420" spans="1:5" x14ac:dyDescent="0.2">
      <c r="A420" s="178">
        <v>2027</v>
      </c>
      <c r="B420" t="s">
        <v>378</v>
      </c>
      <c r="C420" t="s">
        <v>127</v>
      </c>
      <c r="D420" t="s">
        <v>370</v>
      </c>
      <c r="E420" s="179">
        <f>CASH_FLOW!J15</f>
        <v>880.26749999999811</v>
      </c>
    </row>
    <row r="421" spans="1:5" x14ac:dyDescent="0.2">
      <c r="A421" s="178">
        <v>2028</v>
      </c>
      <c r="B421" t="s">
        <v>378</v>
      </c>
      <c r="C421" t="s">
        <v>127</v>
      </c>
      <c r="D421" t="s">
        <v>370</v>
      </c>
      <c r="E421" s="179">
        <f>CASH_FLOW!K15</f>
        <v>911.07686249999824</v>
      </c>
    </row>
    <row r="422" spans="1:5" x14ac:dyDescent="0.2">
      <c r="A422" s="178">
        <v>2020</v>
      </c>
      <c r="B422" t="s">
        <v>378</v>
      </c>
      <c r="C422" t="s">
        <v>128</v>
      </c>
      <c r="D422" t="s">
        <v>370</v>
      </c>
      <c r="E422" s="179">
        <f>CASH_FLOW!C16</f>
        <v>0</v>
      </c>
    </row>
    <row r="423" spans="1:5" x14ac:dyDescent="0.2">
      <c r="A423" s="178">
        <v>2021</v>
      </c>
      <c r="B423" t="s">
        <v>378</v>
      </c>
      <c r="C423" t="s">
        <v>128</v>
      </c>
      <c r="D423" t="s">
        <v>370</v>
      </c>
      <c r="E423" s="179">
        <f>CASH_FLOW!D16</f>
        <v>0</v>
      </c>
    </row>
    <row r="424" spans="1:5" x14ac:dyDescent="0.2">
      <c r="A424" s="178">
        <v>2022</v>
      </c>
      <c r="B424" t="s">
        <v>378</v>
      </c>
      <c r="C424" t="s">
        <v>128</v>
      </c>
      <c r="D424" t="s">
        <v>370</v>
      </c>
      <c r="E424" s="179">
        <f>CASH_FLOW!E16</f>
        <v>0</v>
      </c>
    </row>
    <row r="425" spans="1:5" x14ac:dyDescent="0.2">
      <c r="A425" s="178">
        <v>2023</v>
      </c>
      <c r="B425" t="s">
        <v>378</v>
      </c>
      <c r="C425" t="s">
        <v>128</v>
      </c>
      <c r="D425" t="s">
        <v>370</v>
      </c>
      <c r="E425" s="179">
        <f>CASH_FLOW!F16</f>
        <v>0</v>
      </c>
    </row>
    <row r="426" spans="1:5" x14ac:dyDescent="0.2">
      <c r="A426" s="178">
        <v>2024</v>
      </c>
      <c r="B426" t="s">
        <v>378</v>
      </c>
      <c r="C426" t="s">
        <v>128</v>
      </c>
      <c r="D426" t="s">
        <v>370</v>
      </c>
      <c r="E426" s="179">
        <f>CASH_FLOW!G16</f>
        <v>0</v>
      </c>
    </row>
    <row r="427" spans="1:5" x14ac:dyDescent="0.2">
      <c r="A427" s="178">
        <v>2025</v>
      </c>
      <c r="B427" t="s">
        <v>378</v>
      </c>
      <c r="C427" t="s">
        <v>128</v>
      </c>
      <c r="D427" t="s">
        <v>370</v>
      </c>
      <c r="E427" s="179">
        <f>CASH_FLOW!H16</f>
        <v>0</v>
      </c>
    </row>
    <row r="428" spans="1:5" x14ac:dyDescent="0.2">
      <c r="A428" s="178">
        <v>2026</v>
      </c>
      <c r="B428" t="s">
        <v>378</v>
      </c>
      <c r="C428" t="s">
        <v>128</v>
      </c>
      <c r="D428" t="s">
        <v>370</v>
      </c>
      <c r="E428" s="179">
        <f>CASH_FLOW!I16</f>
        <v>0</v>
      </c>
    </row>
    <row r="429" spans="1:5" x14ac:dyDescent="0.2">
      <c r="A429" s="178">
        <v>2027</v>
      </c>
      <c r="B429" t="s">
        <v>378</v>
      </c>
      <c r="C429" t="s">
        <v>128</v>
      </c>
      <c r="D429" t="s">
        <v>370</v>
      </c>
      <c r="E429" s="179">
        <f>CASH_FLOW!J16</f>
        <v>0</v>
      </c>
    </row>
    <row r="430" spans="1:5" x14ac:dyDescent="0.2">
      <c r="A430" s="178">
        <v>2028</v>
      </c>
      <c r="B430" t="s">
        <v>378</v>
      </c>
      <c r="C430" t="s">
        <v>128</v>
      </c>
      <c r="D430" t="s">
        <v>370</v>
      </c>
      <c r="E430" s="179">
        <f>CASH_FLOW!K16</f>
        <v>0</v>
      </c>
    </row>
    <row r="431" spans="1:5" x14ac:dyDescent="0.2">
      <c r="A431" s="178">
        <v>2020</v>
      </c>
      <c r="B431" t="s">
        <v>378</v>
      </c>
      <c r="C431" t="s">
        <v>381</v>
      </c>
      <c r="D431" t="s">
        <v>370</v>
      </c>
      <c r="E431" s="179">
        <f>CASH_FLOW!C17</f>
        <v>552.09836162561601</v>
      </c>
    </row>
    <row r="432" spans="1:5" x14ac:dyDescent="0.2">
      <c r="A432" s="178">
        <v>2021</v>
      </c>
      <c r="B432" t="s">
        <v>378</v>
      </c>
      <c r="C432" t="s">
        <v>381</v>
      </c>
      <c r="D432" t="s">
        <v>370</v>
      </c>
      <c r="E432" s="179">
        <f>CASH_FLOW!D17</f>
        <v>587.24098915280513</v>
      </c>
    </row>
    <row r="433" spans="1:5" x14ac:dyDescent="0.2">
      <c r="A433" s="178">
        <v>2022</v>
      </c>
      <c r="B433" t="s">
        <v>378</v>
      </c>
      <c r="C433" t="s">
        <v>381</v>
      </c>
      <c r="D433" t="s">
        <v>370</v>
      </c>
      <c r="E433" s="179">
        <f>CASH_FLOW!E17</f>
        <v>393.43363998871757</v>
      </c>
    </row>
    <row r="434" spans="1:5" x14ac:dyDescent="0.2">
      <c r="A434" s="178">
        <v>2023</v>
      </c>
      <c r="B434" t="s">
        <v>378</v>
      </c>
      <c r="C434" t="s">
        <v>381</v>
      </c>
      <c r="D434" t="s">
        <v>370</v>
      </c>
      <c r="E434" s="179">
        <f>CASH_FLOW!F17</f>
        <v>-51.246895226914603</v>
      </c>
    </row>
    <row r="435" spans="1:5" x14ac:dyDescent="0.2">
      <c r="A435" s="178">
        <v>2024</v>
      </c>
      <c r="B435" t="s">
        <v>378</v>
      </c>
      <c r="C435" t="s">
        <v>381</v>
      </c>
      <c r="D435" t="s">
        <v>370</v>
      </c>
      <c r="E435" s="179">
        <f>CASH_FLOW!G17</f>
        <v>-122.69948196920814</v>
      </c>
    </row>
    <row r="436" spans="1:5" x14ac:dyDescent="0.2">
      <c r="A436" s="178">
        <v>2025</v>
      </c>
      <c r="B436" t="s">
        <v>378</v>
      </c>
      <c r="C436" t="s">
        <v>381</v>
      </c>
      <c r="D436" t="s">
        <v>370</v>
      </c>
      <c r="E436" s="179">
        <f>CASH_FLOW!H17</f>
        <v>7.3101114119810973</v>
      </c>
    </row>
    <row r="437" spans="1:5" x14ac:dyDescent="0.2">
      <c r="A437" s="178">
        <v>2026</v>
      </c>
      <c r="B437" t="s">
        <v>378</v>
      </c>
      <c r="C437" t="s">
        <v>381</v>
      </c>
      <c r="D437" t="s">
        <v>370</v>
      </c>
      <c r="E437" s="179">
        <f>CASH_FLOW!I17</f>
        <v>88.16434529401738</v>
      </c>
    </row>
    <row r="438" spans="1:5" x14ac:dyDescent="0.2">
      <c r="A438" s="178">
        <v>2027</v>
      </c>
      <c r="B438" t="s">
        <v>378</v>
      </c>
      <c r="C438" t="s">
        <v>381</v>
      </c>
      <c r="D438" t="s">
        <v>370</v>
      </c>
      <c r="E438" s="179">
        <f>CASH_FLOW!J17</f>
        <v>88.141152738772689</v>
      </c>
    </row>
    <row r="439" spans="1:5" x14ac:dyDescent="0.2">
      <c r="A439" s="178">
        <v>2028</v>
      </c>
      <c r="B439" t="s">
        <v>378</v>
      </c>
      <c r="C439" t="s">
        <v>381</v>
      </c>
      <c r="D439" t="s">
        <v>370</v>
      </c>
      <c r="E439" s="179">
        <f>CASH_FLOW!K17</f>
        <v>88.023880104881869</v>
      </c>
    </row>
    <row r="440" spans="1:5" x14ac:dyDescent="0.2">
      <c r="A440" s="178">
        <v>2020</v>
      </c>
      <c r="B440" t="s">
        <v>378</v>
      </c>
      <c r="C440" t="s">
        <v>382</v>
      </c>
      <c r="D440" t="s">
        <v>370</v>
      </c>
      <c r="E440" s="179">
        <f>CASH_FLOW!C18</f>
        <v>431.76158043318969</v>
      </c>
    </row>
    <row r="441" spans="1:5" x14ac:dyDescent="0.2">
      <c r="A441" s="178">
        <v>2021</v>
      </c>
      <c r="B441" t="s">
        <v>378</v>
      </c>
      <c r="C441" t="s">
        <v>382</v>
      </c>
      <c r="D441" t="s">
        <v>370</v>
      </c>
      <c r="E441" s="179">
        <f>CASH_FLOW!D18</f>
        <v>423.14445844293652</v>
      </c>
    </row>
    <row r="442" spans="1:5" x14ac:dyDescent="0.2">
      <c r="A442" s="178">
        <v>2022</v>
      </c>
      <c r="B442" t="s">
        <v>378</v>
      </c>
      <c r="C442" t="s">
        <v>382</v>
      </c>
      <c r="D442" t="s">
        <v>370</v>
      </c>
      <c r="E442" s="179">
        <f>CASH_FLOW!E18</f>
        <v>759.49569016509179</v>
      </c>
    </row>
    <row r="443" spans="1:5" x14ac:dyDescent="0.2">
      <c r="A443" s="178">
        <v>2023</v>
      </c>
      <c r="B443" t="s">
        <v>378</v>
      </c>
      <c r="C443" t="s">
        <v>382</v>
      </c>
      <c r="D443" t="s">
        <v>370</v>
      </c>
      <c r="E443" s="179">
        <f>CASH_FLOW!F18</f>
        <v>1473.7541082437247</v>
      </c>
    </row>
    <row r="444" spans="1:5" x14ac:dyDescent="0.2">
      <c r="A444" s="178">
        <v>2024</v>
      </c>
      <c r="B444" t="s">
        <v>378</v>
      </c>
      <c r="C444" t="s">
        <v>382</v>
      </c>
      <c r="D444" t="s">
        <v>370</v>
      </c>
      <c r="E444" s="179">
        <f>CASH_FLOW!G18</f>
        <v>1629.8239201462702</v>
      </c>
    </row>
    <row r="445" spans="1:5" x14ac:dyDescent="0.2">
      <c r="A445" s="178">
        <v>2025</v>
      </c>
      <c r="B445" t="s">
        <v>378</v>
      </c>
      <c r="C445" t="s">
        <v>382</v>
      </c>
      <c r="D445" t="s">
        <v>370</v>
      </c>
      <c r="E445" s="179">
        <f>CASH_FLOW!H18</f>
        <v>1485.4116444762196</v>
      </c>
    </row>
    <row r="446" spans="1:5" x14ac:dyDescent="0.2">
      <c r="A446" s="178">
        <v>2026</v>
      </c>
      <c r="B446" t="s">
        <v>378</v>
      </c>
      <c r="C446" t="s">
        <v>382</v>
      </c>
      <c r="D446" t="s">
        <v>370</v>
      </c>
      <c r="E446" s="179">
        <f>CASH_FLOW!I18</f>
        <v>1416.503482058974</v>
      </c>
    </row>
    <row r="447" spans="1:5" x14ac:dyDescent="0.2">
      <c r="A447" s="178">
        <v>2027</v>
      </c>
      <c r="B447" t="s">
        <v>378</v>
      </c>
      <c r="C447" t="s">
        <v>382</v>
      </c>
      <c r="D447" t="s">
        <v>370</v>
      </c>
      <c r="E447" s="179">
        <f>CASH_FLOW!J18</f>
        <v>1470.7445208918371</v>
      </c>
    </row>
    <row r="448" spans="1:5" x14ac:dyDescent="0.2">
      <c r="A448" s="178">
        <v>2028</v>
      </c>
      <c r="B448" t="s">
        <v>378</v>
      </c>
      <c r="C448" t="s">
        <v>382</v>
      </c>
      <c r="D448" t="s">
        <v>370</v>
      </c>
      <c r="E448" s="179">
        <f>CASH_FLOW!K18</f>
        <v>1527.0238985926699</v>
      </c>
    </row>
    <row r="449" spans="1:5" x14ac:dyDescent="0.2">
      <c r="A449" s="178">
        <v>2020</v>
      </c>
      <c r="B449" t="s">
        <v>378</v>
      </c>
      <c r="C449" t="s">
        <v>383</v>
      </c>
      <c r="D449" t="s">
        <v>370</v>
      </c>
      <c r="E449" s="179">
        <f>CASH_FLOW!C19</f>
        <v>14859.972051190169</v>
      </c>
    </row>
    <row r="450" spans="1:5" x14ac:dyDescent="0.2">
      <c r="A450" s="178">
        <v>2021</v>
      </c>
      <c r="B450" t="s">
        <v>378</v>
      </c>
      <c r="C450" t="s">
        <v>383</v>
      </c>
      <c r="D450" t="s">
        <v>370</v>
      </c>
      <c r="E450" s="179">
        <f>CASH_FLOW!D19</f>
        <v>15291.733631623358</v>
      </c>
    </row>
    <row r="451" spans="1:5" x14ac:dyDescent="0.2">
      <c r="A451" s="178">
        <v>2022</v>
      </c>
      <c r="B451" t="s">
        <v>378</v>
      </c>
      <c r="C451" t="s">
        <v>383</v>
      </c>
      <c r="D451" t="s">
        <v>370</v>
      </c>
      <c r="E451" s="179">
        <f>CASH_FLOW!E19</f>
        <v>15714.878090066295</v>
      </c>
    </row>
    <row r="452" spans="1:5" x14ac:dyDescent="0.2">
      <c r="A452" s="178">
        <v>2023</v>
      </c>
      <c r="B452" t="s">
        <v>378</v>
      </c>
      <c r="C452" t="s">
        <v>383</v>
      </c>
      <c r="D452" t="s">
        <v>370</v>
      </c>
      <c r="E452" s="179">
        <f>CASH_FLOW!F19</f>
        <v>16474.373780231388</v>
      </c>
    </row>
    <row r="453" spans="1:5" x14ac:dyDescent="0.2">
      <c r="A453" s="178">
        <v>2024</v>
      </c>
      <c r="B453" t="s">
        <v>378</v>
      </c>
      <c r="C453" t="s">
        <v>383</v>
      </c>
      <c r="D453" t="s">
        <v>370</v>
      </c>
      <c r="E453" s="179">
        <f>CASH_FLOW!G19</f>
        <v>17948.127888475112</v>
      </c>
    </row>
    <row r="454" spans="1:5" x14ac:dyDescent="0.2">
      <c r="A454" s="178">
        <v>2025</v>
      </c>
      <c r="B454" t="s">
        <v>378</v>
      </c>
      <c r="C454" t="s">
        <v>383</v>
      </c>
      <c r="D454" t="s">
        <v>370</v>
      </c>
      <c r="E454" s="179">
        <f>CASH_FLOW!H19</f>
        <v>19577.951808621383</v>
      </c>
    </row>
    <row r="455" spans="1:5" x14ac:dyDescent="0.2">
      <c r="A455" s="178">
        <v>2026</v>
      </c>
      <c r="B455" t="s">
        <v>378</v>
      </c>
      <c r="C455" t="s">
        <v>383</v>
      </c>
      <c r="D455" t="s">
        <v>370</v>
      </c>
      <c r="E455" s="179">
        <f>CASH_FLOW!I19</f>
        <v>21063.363453097601</v>
      </c>
    </row>
    <row r="456" spans="1:5" x14ac:dyDescent="0.2">
      <c r="A456" s="178">
        <v>2027</v>
      </c>
      <c r="B456" t="s">
        <v>378</v>
      </c>
      <c r="C456" t="s">
        <v>383</v>
      </c>
      <c r="D456" t="s">
        <v>370</v>
      </c>
      <c r="E456" s="179">
        <f>CASH_FLOW!J19</f>
        <v>22479.866935156577</v>
      </c>
    </row>
    <row r="457" spans="1:5" x14ac:dyDescent="0.2">
      <c r="A457" s="178">
        <v>2028</v>
      </c>
      <c r="B457" t="s">
        <v>378</v>
      </c>
      <c r="C457" t="s">
        <v>383</v>
      </c>
      <c r="D457" t="s">
        <v>370</v>
      </c>
      <c r="E457" s="179">
        <f>CASH_FLOW!K19</f>
        <v>23950.611456048413</v>
      </c>
    </row>
    <row r="458" spans="1:5" x14ac:dyDescent="0.2">
      <c r="A458" s="178">
        <v>2020</v>
      </c>
      <c r="B458" t="s">
        <v>378</v>
      </c>
      <c r="C458" t="s">
        <v>384</v>
      </c>
      <c r="D458" t="s">
        <v>370</v>
      </c>
      <c r="E458" s="179">
        <f>CASH_FLOW!C20</f>
        <v>15291.733631623358</v>
      </c>
    </row>
    <row r="459" spans="1:5" x14ac:dyDescent="0.2">
      <c r="A459" s="178">
        <v>2021</v>
      </c>
      <c r="B459" t="s">
        <v>378</v>
      </c>
      <c r="C459" t="s">
        <v>384</v>
      </c>
      <c r="D459" t="s">
        <v>370</v>
      </c>
      <c r="E459" s="179">
        <f>CASH_FLOW!D20</f>
        <v>15714.878090066295</v>
      </c>
    </row>
    <row r="460" spans="1:5" x14ac:dyDescent="0.2">
      <c r="A460" s="178">
        <v>2022</v>
      </c>
      <c r="B460" t="s">
        <v>378</v>
      </c>
      <c r="C460" t="s">
        <v>384</v>
      </c>
      <c r="D460" t="s">
        <v>370</v>
      </c>
      <c r="E460" s="179">
        <f>CASH_FLOW!E20</f>
        <v>16474.373780231388</v>
      </c>
    </row>
    <row r="461" spans="1:5" x14ac:dyDescent="0.2">
      <c r="A461" s="178">
        <v>2023</v>
      </c>
      <c r="B461" t="s">
        <v>378</v>
      </c>
      <c r="C461" t="s">
        <v>384</v>
      </c>
      <c r="D461" t="s">
        <v>370</v>
      </c>
      <c r="E461" s="179">
        <f>CASH_FLOW!F20</f>
        <v>17948.127888475112</v>
      </c>
    </row>
    <row r="462" spans="1:5" x14ac:dyDescent="0.2">
      <c r="A462" s="178">
        <v>2024</v>
      </c>
      <c r="B462" t="s">
        <v>378</v>
      </c>
      <c r="C462" t="s">
        <v>384</v>
      </c>
      <c r="D462" t="s">
        <v>370</v>
      </c>
      <c r="E462" s="179">
        <f>CASH_FLOW!G20</f>
        <v>19577.951808621383</v>
      </c>
    </row>
    <row r="463" spans="1:5" x14ac:dyDescent="0.2">
      <c r="A463" s="178">
        <v>2025</v>
      </c>
      <c r="B463" t="s">
        <v>378</v>
      </c>
      <c r="C463" t="s">
        <v>384</v>
      </c>
      <c r="D463" t="s">
        <v>370</v>
      </c>
      <c r="E463" s="179">
        <f>CASH_FLOW!H20</f>
        <v>21063.363453097601</v>
      </c>
    </row>
    <row r="464" spans="1:5" x14ac:dyDescent="0.2">
      <c r="A464" s="178">
        <v>2026</v>
      </c>
      <c r="B464" t="s">
        <v>378</v>
      </c>
      <c r="C464" t="s">
        <v>384</v>
      </c>
      <c r="D464" t="s">
        <v>370</v>
      </c>
      <c r="E464" s="179">
        <f>CASH_FLOW!I20</f>
        <v>22479.866935156577</v>
      </c>
    </row>
    <row r="465" spans="1:5" x14ac:dyDescent="0.2">
      <c r="A465" s="178">
        <v>2027</v>
      </c>
      <c r="B465" t="s">
        <v>378</v>
      </c>
      <c r="C465" t="s">
        <v>384</v>
      </c>
      <c r="D465" t="s">
        <v>370</v>
      </c>
      <c r="E465" s="179">
        <f>CASH_FLOW!J20</f>
        <v>23950.611456048413</v>
      </c>
    </row>
    <row r="466" spans="1:5" x14ac:dyDescent="0.2">
      <c r="A466" s="178">
        <v>2028</v>
      </c>
      <c r="B466" t="s">
        <v>378</v>
      </c>
      <c r="C466" t="s">
        <v>384</v>
      </c>
      <c r="D466" t="s">
        <v>370</v>
      </c>
      <c r="E466" s="179">
        <f>CASH_FLOW!K20</f>
        <v>25477.635354641083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49801D-228F-164C-A206-BB18299205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MGMT_SUMMARY</vt:lpstr>
      <vt:lpstr>PROJECT_SUMMARY</vt:lpstr>
      <vt:lpstr>RAW_DATA</vt:lpstr>
      <vt:lpstr>ASSUMPTIONS</vt:lpstr>
      <vt:lpstr>BALANCE_SHEET</vt:lpstr>
      <vt:lpstr>PL_MODEL</vt:lpstr>
      <vt:lpstr>CASH_FLOW</vt:lpstr>
      <vt:lpstr>BUDGET VS ACTUAL</vt:lpstr>
      <vt:lpstr>SCENARIO_ANALYSIS</vt:lpstr>
      <vt:lpstr>MODEL_VALIDATION</vt:lpstr>
      <vt:lpstr>CHARTS</vt:lpstr>
      <vt:lpstr>BI_DATA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Sojan</dc:creator>
  <cp:lastModifiedBy>Pallavi Sojan</cp:lastModifiedBy>
  <dcterms:created xsi:type="dcterms:W3CDTF">2026-06-22T12:28:39Z</dcterms:created>
  <dcterms:modified xsi:type="dcterms:W3CDTF">2026-07-01T11:17:44Z</dcterms:modified>
</cp:coreProperties>
</file>