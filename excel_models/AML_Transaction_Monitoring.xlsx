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llavisojan/Documents/Finance Project/excel_models/"/>
    </mc:Choice>
  </mc:AlternateContent>
  <xr:revisionPtr revIDLastSave="0" documentId="13_ncr:1_{370CD874-D2AB-CB43-A852-57AA04A93165}" xr6:coauthVersionLast="47" xr6:coauthVersionMax="47" xr10:uidLastSave="{00000000-0000-0000-0000-000000000000}"/>
  <bookViews>
    <workbookView xWindow="0" yWindow="660" windowWidth="29400" windowHeight="16940" activeTab="2" xr2:uid="{3FCE39F7-1D35-194C-AD87-3D88E9AA24AA}"/>
  </bookViews>
  <sheets>
    <sheet name="DATA_DICTIONARY" sheetId="3" r:id="rId1"/>
    <sheet name="CUSTOMER_PROFILES" sheetId="1" r:id="rId2"/>
    <sheet name="TRANSACTION_LEDGER" sheetId="2" r:id="rId3"/>
    <sheet name="ALERT_INVESTIGATION_LOG" sheetId="4" r:id="rId4"/>
    <sheet name="KYC_CDD_FRAMEWORK" sheetId="5" r:id="rId5"/>
    <sheet name="TM_RULES_SUMMARY" sheetId="7" r:id="rId6"/>
    <sheet name="SAR Report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7" l="1"/>
  <c r="B21" i="7"/>
  <c r="B20" i="7"/>
  <c r="B19" i="7"/>
  <c r="B18" i="7"/>
  <c r="B17" i="7"/>
  <c r="K20" i="4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B33" i="8"/>
  <c r="J59" i="5"/>
  <c r="K59" i="5" s="1"/>
  <c r="J58" i="5"/>
  <c r="K58" i="5" s="1"/>
  <c r="J57" i="5"/>
  <c r="K57" i="5" s="1"/>
  <c r="J56" i="5"/>
  <c r="K56" i="5" s="1"/>
  <c r="J55" i="5"/>
  <c r="K55" i="5" s="1"/>
  <c r="J54" i="5"/>
  <c r="K54" i="5" s="1"/>
  <c r="J53" i="5"/>
  <c r="K53" i="5" s="1"/>
  <c r="J52" i="5"/>
  <c r="K52" i="5" s="1"/>
  <c r="J51" i="5"/>
  <c r="K51" i="5" s="1"/>
  <c r="J50" i="5"/>
  <c r="K50" i="5" s="1"/>
  <c r="J49" i="5"/>
  <c r="K49" i="5" s="1"/>
  <c r="J48" i="5"/>
  <c r="K48" i="5" s="1"/>
  <c r="J47" i="5"/>
  <c r="K47" i="5" s="1"/>
  <c r="J46" i="5"/>
  <c r="K46" i="5" s="1"/>
  <c r="J45" i="5"/>
  <c r="K45" i="5" s="1"/>
  <c r="J44" i="5"/>
  <c r="K44" i="5" s="1"/>
  <c r="J43" i="5"/>
  <c r="K43" i="5" s="1"/>
  <c r="J42" i="5"/>
  <c r="K42" i="5" s="1"/>
  <c r="J41" i="5"/>
  <c r="K41" i="5" s="1"/>
  <c r="J40" i="5"/>
  <c r="K40" i="5" s="1"/>
  <c r="J39" i="5"/>
  <c r="K39" i="5" s="1"/>
  <c r="J38" i="5"/>
  <c r="K38" i="5" s="1"/>
  <c r="J37" i="5"/>
  <c r="K37" i="5" s="1"/>
  <c r="J36" i="5"/>
  <c r="K36" i="5" s="1"/>
  <c r="J35" i="5"/>
  <c r="K35" i="5" s="1"/>
  <c r="J34" i="5"/>
  <c r="K34" i="5" s="1"/>
  <c r="J33" i="5"/>
  <c r="K33" i="5" s="1"/>
  <c r="J32" i="5"/>
  <c r="K32" i="5" s="1"/>
  <c r="J31" i="5"/>
  <c r="K31" i="5" s="1"/>
  <c r="K30" i="5"/>
  <c r="J30" i="5"/>
  <c r="B23" i="7"/>
  <c r="B22" i="7"/>
  <c r="B33" i="4"/>
  <c r="B32" i="4"/>
  <c r="B31" i="4"/>
  <c r="B30" i="4"/>
  <c r="K22" i="4"/>
  <c r="K21" i="4"/>
  <c r="K19" i="4"/>
  <c r="F19" i="4"/>
  <c r="F20" i="4"/>
  <c r="F21" i="4"/>
  <c r="C26" i="4"/>
  <c r="C25" i="4"/>
  <c r="C20" i="4"/>
  <c r="C19" i="4"/>
  <c r="C21" i="4"/>
  <c r="C22" i="4"/>
  <c r="C23" i="4"/>
  <c r="C24" i="4"/>
</calcChain>
</file>

<file path=xl/sharedStrings.xml><?xml version="1.0" encoding="utf-8"?>
<sst xmlns="http://schemas.openxmlformats.org/spreadsheetml/2006/main" count="2699" uniqueCount="776">
  <si>
    <t>Customer_ID</t>
  </si>
  <si>
    <t>Country_of_Residence</t>
  </si>
  <si>
    <t>KYC_Tier</t>
  </si>
  <si>
    <t>Monthly_Expected_Turnover_GBP</t>
  </si>
  <si>
    <t>Account_Status</t>
  </si>
  <si>
    <t>Account_Open_Date</t>
  </si>
  <si>
    <t>CUST001</t>
  </si>
  <si>
    <t>Individual</t>
  </si>
  <si>
    <t>British</t>
  </si>
  <si>
    <t>UK</t>
  </si>
  <si>
    <t>Teacher</t>
  </si>
  <si>
    <t>Low</t>
  </si>
  <si>
    <t>CDD</t>
  </si>
  <si>
    <t>Active</t>
  </si>
  <si>
    <t>CUST002</t>
  </si>
  <si>
    <t>Nurse</t>
  </si>
  <si>
    <t>CUST003</t>
  </si>
  <si>
    <t>Engineer</t>
  </si>
  <si>
    <t>CUST004</t>
  </si>
  <si>
    <t>Accountant</t>
  </si>
  <si>
    <t>CUST005</t>
  </si>
  <si>
    <t>Police Officer</t>
  </si>
  <si>
    <t>CUST006</t>
  </si>
  <si>
    <t>Retail Manager</t>
  </si>
  <si>
    <t>CUST007</t>
  </si>
  <si>
    <t>IT Analyst</t>
  </si>
  <si>
    <t>CUST008</t>
  </si>
  <si>
    <t>Social Worker</t>
  </si>
  <si>
    <t>CUST009</t>
  </si>
  <si>
    <t>Pharmacist</t>
  </si>
  <si>
    <t>CUST010</t>
  </si>
  <si>
    <t>Electrician</t>
  </si>
  <si>
    <t>Customer_Type</t>
  </si>
  <si>
    <t>Nationality</t>
  </si>
  <si>
    <t>Occupation</t>
  </si>
  <si>
    <t>Risk_Rating</t>
  </si>
  <si>
    <t>CUST011</t>
  </si>
  <si>
    <t>Indian</t>
  </si>
  <si>
    <t>IT Consultant</t>
  </si>
  <si>
    <t>Medium</t>
  </si>
  <si>
    <t>CUST012</t>
  </si>
  <si>
    <t>Nigerian</t>
  </si>
  <si>
    <t>Import/Export</t>
  </si>
  <si>
    <t>CUST013</t>
  </si>
  <si>
    <t>Pakistani</t>
  </si>
  <si>
    <t>Restaurant Owner</t>
  </si>
  <si>
    <t>CUST014</t>
  </si>
  <si>
    <t>Chinese</t>
  </si>
  <si>
    <t>Property Developer</t>
  </si>
  <si>
    <t>CUST015</t>
  </si>
  <si>
    <t>Market Trader</t>
  </si>
  <si>
    <t>CUST016</t>
  </si>
  <si>
    <t>Romanian</t>
  </si>
  <si>
    <t>Construction</t>
  </si>
  <si>
    <t>CUST017</t>
  </si>
  <si>
    <t>Turkish</t>
  </si>
  <si>
    <t>Money Transfer Agent</t>
  </si>
  <si>
    <t>EDD</t>
  </si>
  <si>
    <t>CUST018</t>
  </si>
  <si>
    <t>CUST019</t>
  </si>
  <si>
    <t>Russian</t>
  </si>
  <si>
    <t>Property Investor</t>
  </si>
  <si>
    <t>High</t>
  </si>
  <si>
    <t>CUST020</t>
  </si>
  <si>
    <t>PEP</t>
  </si>
  <si>
    <t>Former Government Minister</t>
  </si>
  <si>
    <t>CUST021</t>
  </si>
  <si>
    <t>Local Council Leader</t>
  </si>
  <si>
    <t>CUST022</t>
  </si>
  <si>
    <t>Iranian</t>
  </si>
  <si>
    <t>CUST023</t>
  </si>
  <si>
    <t>Cash Intensive Business</t>
  </si>
  <si>
    <t>CUST024</t>
  </si>
  <si>
    <t>Venezuelan</t>
  </si>
  <si>
    <t>Property Consultant</t>
  </si>
  <si>
    <t>CUST025</t>
  </si>
  <si>
    <t>Jewellery Trader</t>
  </si>
  <si>
    <t>Dormant</t>
  </si>
  <si>
    <t>CUST026</t>
  </si>
  <si>
    <t>Retired</t>
  </si>
  <si>
    <t>CUST027</t>
  </si>
  <si>
    <t>Student</t>
  </si>
  <si>
    <t>SDD</t>
  </si>
  <si>
    <t>CUST028</t>
  </si>
  <si>
    <t>Belarusian</t>
  </si>
  <si>
    <t>Logistics Manager</t>
  </si>
  <si>
    <t>CUST029</t>
  </si>
  <si>
    <t>Corporate</t>
  </si>
  <si>
    <t>UK Registered</t>
  </si>
  <si>
    <t>Holding Company</t>
  </si>
  <si>
    <t>CUST030</t>
  </si>
  <si>
    <t>Import/Export Ltd</t>
  </si>
  <si>
    <t>Transaction_ID</t>
  </si>
  <si>
    <t>Date</t>
  </si>
  <si>
    <t>Transaction_Type</t>
  </si>
  <si>
    <t>Amount_GBP</t>
  </si>
  <si>
    <t>Currency</t>
  </si>
  <si>
    <t>Counterparty_Name</t>
  </si>
  <si>
    <t>Counterparty_Country</t>
  </si>
  <si>
    <t>Counterparty_Bank</t>
  </si>
  <si>
    <t>Direction</t>
  </si>
  <si>
    <t>Running_Balance</t>
  </si>
  <si>
    <t>Flagged</t>
  </si>
  <si>
    <t>Flag_Reason</t>
  </si>
  <si>
    <t>Alert_ID</t>
  </si>
  <si>
    <t>T001</t>
  </si>
  <si>
    <t>Salary Credit</t>
  </si>
  <si>
    <t>GBP</t>
  </si>
  <si>
    <t>City Council</t>
  </si>
  <si>
    <t>Barclays</t>
  </si>
  <si>
    <t>Credit</t>
  </si>
  <si>
    <t>NO</t>
  </si>
  <si>
    <t>T002</t>
  </si>
  <si>
    <t>Bill Payment</t>
  </si>
  <si>
    <t>British Gas</t>
  </si>
  <si>
    <t>Debit</t>
  </si>
  <si>
    <t>T003</t>
  </si>
  <si>
    <t>BT Broadband</t>
  </si>
  <si>
    <t>T004</t>
  </si>
  <si>
    <t>NHS</t>
  </si>
  <si>
    <t>Lloyds</t>
  </si>
  <si>
    <t>T005</t>
  </si>
  <si>
    <t>Landlord</t>
  </si>
  <si>
    <t>T006</t>
  </si>
  <si>
    <t>Tech Corp</t>
  </si>
  <si>
    <t>HSBC</t>
  </si>
  <si>
    <t>T007</t>
  </si>
  <si>
    <t>Mortgage Payment</t>
  </si>
  <si>
    <t>Halifax</t>
  </si>
  <si>
    <t>T008</t>
  </si>
  <si>
    <t>Deloitte</t>
  </si>
  <si>
    <t>NatWest</t>
  </si>
  <si>
    <t>T009</t>
  </si>
  <si>
    <t>Rent Payment</t>
  </si>
  <si>
    <t>T010</t>
  </si>
  <si>
    <t>Police Scotland</t>
  </si>
  <si>
    <t>RBS</t>
  </si>
  <si>
    <t>T011</t>
  </si>
  <si>
    <t>T012</t>
  </si>
  <si>
    <t>T013</t>
  </si>
  <si>
    <t>T014</t>
  </si>
  <si>
    <t>T015</t>
  </si>
  <si>
    <t>T016</t>
  </si>
  <si>
    <t>T017</t>
  </si>
  <si>
    <t>T018</t>
  </si>
  <si>
    <t>Tesco</t>
  </si>
  <si>
    <t>Santander</t>
  </si>
  <si>
    <t>T019</t>
  </si>
  <si>
    <t>T020</t>
  </si>
  <si>
    <t>IBM</t>
  </si>
  <si>
    <t>T021</t>
  </si>
  <si>
    <t>Social Services</t>
  </si>
  <si>
    <t>T022</t>
  </si>
  <si>
    <t>T023</t>
  </si>
  <si>
    <t>Boots Pharmacy</t>
  </si>
  <si>
    <t>T024</t>
  </si>
  <si>
    <t>Nationwide</t>
  </si>
  <si>
    <t>T025</t>
  </si>
  <si>
    <t>Construction Co</t>
  </si>
  <si>
    <t>T026</t>
  </si>
  <si>
    <t>T027</t>
  </si>
  <si>
    <t>T028</t>
  </si>
  <si>
    <t>T029</t>
  </si>
  <si>
    <t>Business Income</t>
  </si>
  <si>
    <t>Various Clients</t>
  </si>
  <si>
    <t>T030</t>
  </si>
  <si>
    <t>Wire Transfer</t>
  </si>
  <si>
    <t>Family Member</t>
  </si>
  <si>
    <t>India</t>
  </si>
  <si>
    <t>ICICI</t>
  </si>
  <si>
    <t>T031</t>
  </si>
  <si>
    <t>Import Clients</t>
  </si>
  <si>
    <t>Nigeria</t>
  </si>
  <si>
    <t>Zenith Bank</t>
  </si>
  <si>
    <t>T032</t>
  </si>
  <si>
    <t>Warehouse Rent</t>
  </si>
  <si>
    <t>T033</t>
  </si>
  <si>
    <t>Restaurant Sales</t>
  </si>
  <si>
    <t>T034</t>
  </si>
  <si>
    <t>Staff Wages</t>
  </si>
  <si>
    <t>Employees</t>
  </si>
  <si>
    <t>T035</t>
  </si>
  <si>
    <t>T036</t>
  </si>
  <si>
    <t>T037</t>
  </si>
  <si>
    <t>T038</t>
  </si>
  <si>
    <t>T039</t>
  </si>
  <si>
    <t>T040</t>
  </si>
  <si>
    <t>Property Income</t>
  </si>
  <si>
    <t>Tenants</t>
  </si>
  <si>
    <t>T041</t>
  </si>
  <si>
    <t>T042</t>
  </si>
  <si>
    <t>T043</t>
  </si>
  <si>
    <t>T044</t>
  </si>
  <si>
    <t>Construction Ltd</t>
  </si>
  <si>
    <t>T045</t>
  </si>
  <si>
    <t>Family</t>
  </si>
  <si>
    <t>Romania</t>
  </si>
  <si>
    <t>ING</t>
  </si>
  <si>
    <t>T046</t>
  </si>
  <si>
    <t>T047</t>
  </si>
  <si>
    <t>Transfer Clients</t>
  </si>
  <si>
    <t>T048</t>
  </si>
  <si>
    <t>T049</t>
  </si>
  <si>
    <t>T050</t>
  </si>
  <si>
    <t>T066</t>
  </si>
  <si>
    <t>T067</t>
  </si>
  <si>
    <t>T068</t>
  </si>
  <si>
    <t>T069</t>
  </si>
  <si>
    <t>T070</t>
  </si>
  <si>
    <t>T071</t>
  </si>
  <si>
    <t>T072</t>
  </si>
  <si>
    <t>Storage Unit</t>
  </si>
  <si>
    <t>T073</t>
  </si>
  <si>
    <t>Food Supplier</t>
  </si>
  <si>
    <t>T074</t>
  </si>
  <si>
    <t>T075</t>
  </si>
  <si>
    <t>Cash Deposit</t>
  </si>
  <si>
    <t>Cash</t>
  </si>
  <si>
    <t>Branch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</si>
  <si>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</si>
  <si>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</si>
  <si>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</si>
  <si>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</si>
  <si>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</si>
  <si>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</si>
  <si>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</si>
  <si>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</si>
  <si>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</si>
  <si>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</si>
  <si>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</si>
  <si>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</si>
  <si>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</si>
  <si>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</si>
  <si>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</si>
  <si>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</si>
  <si>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</si>
  <si>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</si>
  <si>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Property Sales</t>
  </si>
  <si>
    <t>T094</t>
  </si>
  <si>
    <t>Consultancy Co</t>
  </si>
  <si>
    <t>T095</t>
  </si>
  <si>
    <t>Council</t>
  </si>
  <si>
    <t>T096</t>
  </si>
  <si>
    <t>T097</t>
  </si>
  <si>
    <t>T098</t>
  </si>
  <si>
    <t>T099</t>
  </si>
  <si>
    <t>T100</t>
  </si>
  <si>
    <t>T101</t>
  </si>
  <si>
    <t>T102</t>
  </si>
  <si>
    <t>Warehouse</t>
  </si>
  <si>
    <t>T103</t>
  </si>
  <si>
    <t>Supplier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</si>
  <si>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</si>
  <si>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</si>
  <si>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</si>
  <si>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</si>
  <si>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</si>
  <si>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</si>
  <si>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</si>
  <si>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</si>
  <si>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</si>
  <si>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</si>
  <si>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</si>
  <si>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Consultancy Fee</t>
  </si>
  <si>
    <t>Client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</si>
  <si>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</si>
  <si>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</si>
  <si>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</si>
  <si>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</si>
  <si>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</si>
  <si>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</si>
  <si>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</si>
  <si>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</si>
  <si>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</si>
  <si>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</si>
  <si>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</si>
  <si>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</si>
  <si>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</si>
  <si>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</si>
  <si>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</si>
  <si>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</si>
  <si>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</si>
  <si>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</si>
  <si>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</si>
  <si>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</si>
  <si>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</si>
  <si>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</si>
  <si>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</si>
  <si>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</si>
  <si>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</si>
  <si>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</si>
  <si>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</si>
  <si>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</si>
  <si>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</si>
  <si>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</si>
  <si>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</si>
  <si>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</si>
  <si>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</si>
  <si>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</si>
  <si>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</si>
  <si>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</si>
  <si>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</si>
  <si>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</si>
  <si>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</si>
  <si>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</si>
  <si>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</si>
  <si>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</si>
  <si>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</si>
  <si>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</si>
  <si>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</si>
  <si>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</si>
  <si>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</si>
  <si>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</si>
  <si>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</si>
  <si>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</si>
  <si>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</si>
  <si>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</si>
  <si>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</si>
  <si>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</si>
  <si>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</si>
  <si>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</si>
  <si>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</si>
  <si>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</si>
  <si>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</si>
  <si>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</si>
  <si>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</si>
  <si>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</si>
  <si>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</si>
  <si>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</si>
  <si>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</si>
  <si>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</si>
  <si>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</si>
  <si>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</si>
  <si>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</si>
  <si>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</si>
  <si>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</si>
  <si>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</si>
  <si>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</si>
  <si>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</si>
  <si>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</si>
  <si>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</si>
  <si>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</si>
  <si>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Utilities</t>
  </si>
  <si>
    <t>T192</t>
  </si>
  <si>
    <t>Client Refund</t>
  </si>
  <si>
    <t>Turkey</t>
  </si>
  <si>
    <t>Garanti</t>
  </si>
  <si>
    <t>T193</t>
  </si>
  <si>
    <t>Property Agent</t>
  </si>
  <si>
    <t>T194</t>
  </si>
  <si>
    <t>Office Rent</t>
  </si>
  <si>
    <t>T195</t>
  </si>
  <si>
    <t>T196</t>
  </si>
  <si>
    <t>Business Sales</t>
  </si>
  <si>
    <t>T197</t>
  </si>
  <si>
    <t>T198</t>
  </si>
  <si>
    <t>Group Companies</t>
  </si>
  <si>
    <t>T199</t>
  </si>
  <si>
    <t>Intercompany Transfer</t>
  </si>
  <si>
    <t>Subsidiary</t>
  </si>
  <si>
    <t>T200</t>
  </si>
  <si>
    <t>Import Sales</t>
  </si>
  <si>
    <t>China</t>
  </si>
  <si>
    <t>Bank of China</t>
  </si>
  <si>
    <t>T051</t>
  </si>
  <si>
    <t>YES</t>
  </si>
  <si>
    <t>STRUCTURING</t>
  </si>
  <si>
    <t>ALT001</t>
  </si>
  <si>
    <t>T052</t>
  </si>
  <si>
    <t>T053</t>
  </si>
  <si>
    <t>T054</t>
  </si>
  <si>
    <t>Wire Transfer IN</t>
  </si>
  <si>
    <t>Al Maktoum Trading</t>
  </si>
  <si>
    <t>UAE</t>
  </si>
  <si>
    <t>Emirates NBD</t>
  </si>
  <si>
    <t>RAPID IN-OUT</t>
  </si>
  <si>
    <t>ALT002</t>
  </si>
  <si>
    <t>T055</t>
  </si>
  <si>
    <t>Wire Transfer OUT</t>
  </si>
  <si>
    <t>Baltik UAB</t>
  </si>
  <si>
    <t>Lithuania</t>
  </si>
  <si>
    <t>SEB Bank</t>
  </si>
  <si>
    <t>T056</t>
  </si>
  <si>
    <t>SWIFT Transfer</t>
  </si>
  <si>
    <t>Tehran Trading Co</t>
  </si>
  <si>
    <t>Iran</t>
  </si>
  <si>
    <t>Bank Mellat</t>
  </si>
  <si>
    <t>HIGH RISK JURISDICTION</t>
  </si>
  <si>
    <t>ALT003</t>
  </si>
  <si>
    <t>T057</t>
  </si>
  <si>
    <t>Unknown Source</t>
  </si>
  <si>
    <t>Unknown</t>
  </si>
  <si>
    <t>DORMANT ACCOUNT</t>
  </si>
  <si>
    <t>ALT004</t>
  </si>
  <si>
    <t>T058</t>
  </si>
  <si>
    <t>Multiple Accounts</t>
  </si>
  <si>
    <t>Various</t>
  </si>
  <si>
    <t>T059</t>
  </si>
  <si>
    <t>Offshore Holdings Ltd</t>
  </si>
  <si>
    <t>Cayman Islands</t>
  </si>
  <si>
    <t>Cayman National</t>
  </si>
  <si>
    <t>PEP TRANSACTION</t>
  </si>
  <si>
    <t>ALT005</t>
  </si>
  <si>
    <t>T060</t>
  </si>
  <si>
    <t>ROUND TRIPPING</t>
  </si>
  <si>
    <t>ALT006</t>
  </si>
  <si>
    <t>T061</t>
  </si>
  <si>
    <t>T062</t>
  </si>
  <si>
    <t>CASH INTENSITY</t>
  </si>
  <si>
    <t>ALT007</t>
  </si>
  <si>
    <t>T063</t>
  </si>
  <si>
    <t>Russia</t>
  </si>
  <si>
    <t>Sberbank</t>
  </si>
  <si>
    <t>SANCTIONS HIT</t>
  </si>
  <si>
    <t>ALT008</t>
  </si>
  <si>
    <t>T064</t>
  </si>
  <si>
    <t>Belarus Trade Ltd</t>
  </si>
  <si>
    <t>Belarus</t>
  </si>
  <si>
    <t>Belarusbank</t>
  </si>
  <si>
    <t>T065</t>
  </si>
  <si>
    <t>ALT009</t>
  </si>
  <si>
    <t>Column Name</t>
  </si>
  <si>
    <t>Description</t>
  </si>
  <si>
    <t>Notes</t>
  </si>
  <si>
    <t>Primary key</t>
  </si>
  <si>
    <t>Date of transaction in DD/MM/YYYY format</t>
  </si>
  <si>
    <t>2024 only</t>
  </si>
  <si>
    <t>Links to CUSTOMER_PROFILES sheet (CUST001–CUST030)</t>
  </si>
  <si>
    <t>Foreign key</t>
  </si>
  <si>
    <t>Type: Salary Credit, Cash Deposit, Wire Transfer, Bill Payment etc</t>
  </si>
  <si>
    <t>Categorisation</t>
  </si>
  <si>
    <t>Transaction amount in British Pounds Sterling</t>
  </si>
  <si>
    <t>Always positive</t>
  </si>
  <si>
    <t>Transaction currency — GBP for domestic, others for international</t>
  </si>
  <si>
    <t>ISO code</t>
  </si>
  <si>
    <t>Name of the other party in the transaction</t>
  </si>
  <si>
    <t>For TM rules</t>
  </si>
  <si>
    <t>Country of the counterparty</t>
  </si>
  <si>
    <t>Used in Rule 3 FATF check</t>
  </si>
  <si>
    <t>Bank used by the counterparty</t>
  </si>
  <si>
    <t>For investigation</t>
  </si>
  <si>
    <t>Credit = money in, Debit = money out</t>
  </si>
  <si>
    <t>Always Credit or Debit</t>
  </si>
  <si>
    <t>Customer account balance after transaction</t>
  </si>
  <si>
    <t>Running total</t>
  </si>
  <si>
    <t>YES if transaction triggers a TM rule, NO if clean</t>
  </si>
  <si>
    <t>Key AML field</t>
  </si>
  <si>
    <t>Which TM rule was triggered — e.g. STRUCTURING</t>
  </si>
  <si>
    <t>Links to SQL rules</t>
  </si>
  <si>
    <t>Alert reference number — links to ALERT_INVESTIGATION_LOG</t>
  </si>
  <si>
    <t>CALEDONIA BANK PLC — ALERT INVESTIGATION LOG</t>
  </si>
  <si>
    <t>Regulatory framework: MLR 2017 | JMLSG 2026 | POCA 2002 | FCA Financial Crime Guide | All alerts FY2024</t>
  </si>
  <si>
    <t>ALERT_ID</t>
  </si>
  <si>
    <t>DATE_RAISED</t>
  </si>
  <si>
    <t>CUSTOMER_ID</t>
  </si>
  <si>
    <t>CUSTOMER_NAME</t>
  </si>
  <si>
    <t>ALERT_TYPE</t>
  </si>
  <si>
    <t>TM_RULE_TRIGGERED</t>
  </si>
  <si>
    <t>TRANSACTION_REF</t>
  </si>
  <si>
    <t>AMOUNT_GBP</t>
  </si>
  <si>
    <t>PRIORITY</t>
  </si>
  <si>
    <t>ASSIGNED_TO</t>
  </si>
  <si>
    <t>DATE_CLOSED</t>
  </si>
  <si>
    <t>DISPOSITION</t>
  </si>
  <si>
    <t>SAR_FILED</t>
  </si>
  <si>
    <t>NOTES</t>
  </si>
  <si>
    <t>Structuring</t>
  </si>
  <si>
    <t>TM-001</t>
  </si>
  <si>
    <t>T051, T052, T053</t>
  </si>
  <si>
    <t>HIGH</t>
  </si>
  <si>
    <t>TRUE POSITIVE</t>
  </si>
  <si>
    <t>3 cash deposits £9,500/£9,200/£9,800 in 5 days. 356% of monthly turnover. SAR filed.</t>
  </si>
  <si>
    <t>Rapid In-Out</t>
  </si>
  <si>
    <t>TM-002</t>
  </si>
  <si>
    <t>T054, T055</t>
  </si>
  <si>
    <t>£45,000 in from UAE, £44,500 out to Lithuania within 24hrs. 98.9% pass-through. SAR filed.</t>
  </si>
  <si>
    <t>High Risk Jurisdiction</t>
  </si>
  <si>
    <t>TM-003</t>
  </si>
  <si>
    <t>SWIFT transfer to Tehran Trading Co, Iran. FATF high-risk jurisdiction. SAR filed.</t>
  </si>
  <si>
    <t>Dormant Account Activity</t>
  </si>
  <si>
    <t>TM-004</t>
  </si>
  <si>
    <t>T057, T058</t>
  </si>
  <si>
    <t>Account dormant 3+ years. £75,000 credit from unknown source. Immediate layering detected. SAR filed.</t>
  </si>
  <si>
    <t>PEP High Value</t>
  </si>
  <si>
    <t>TM-005</t>
  </si>
  <si>
    <t>PENDING</t>
  </si>
  <si>
    <t>PEP received £120,000 from Cayman Islands offshore entity. EDD review ongoing. Awaiting senior management approval.</t>
  </si>
  <si>
    <t>Round Tripping</t>
  </si>
  <si>
    <t>TM-007</t>
  </si>
  <si>
    <t>T060, T061</t>
  </si>
  <si>
    <t>FALSE POSITIVE</t>
  </si>
  <si>
    <t>Funds returned between linked accounts — confirmed legitimate loan repayment between family members. Documented and closed.</t>
  </si>
  <si>
    <t>Cash Intensity</t>
  </si>
  <si>
    <t>TM-006</t>
  </si>
  <si>
    <t>MEDIUM</t>
  </si>
  <si>
    <t>Cash deposit 225% of monthly turnover. Customer provided market trading invoices and receipts. Legitimate seasonal income.</t>
  </si>
  <si>
    <t>Sanctions Screening</t>
  </si>
  <si>
    <t>TM-008</t>
  </si>
  <si>
    <t>T063, T064</t>
  </si>
  <si>
    <t>CRITICAL</t>
  </si>
  <si>
    <t>SWIFT transfers to Russia and Belarus — OFSI sanctioned jurisdictions. Account frozen immediately. MLRO notified within 2 hours. SAR filed same day.</t>
  </si>
  <si>
    <t>WHITELISTED</t>
  </si>
  <si>
    <t>Single cash deposit £9,700. Reviewed in context of ALT007 — consistent with seasonal trading pattern. Whitelisted with 6-month review.</t>
  </si>
  <si>
    <t>ALT010</t>
  </si>
  <si>
    <t>Complex Corporate Structure</t>
  </si>
  <si>
    <t>T198, T199</t>
  </si>
  <si>
    <t>£100,000 corporate credit followed by £50,000 intercompany transfer. Complex ownership structure under review. UBO verification outstanding.</t>
  </si>
  <si>
    <t>ALERT DISPOSITION SUMMARY — FY2024</t>
  </si>
  <si>
    <t>KEY METRICS</t>
  </si>
  <si>
    <t>Total Alerts Reviewed</t>
  </si>
  <si>
    <t>True Positives</t>
  </si>
  <si>
    <t>False Positives</t>
  </si>
  <si>
    <t>Pending Investigation</t>
  </si>
  <si>
    <t>Whitelisted</t>
  </si>
  <si>
    <t>SARs Filed</t>
  </si>
  <si>
    <t>False Positive Rate</t>
  </si>
  <si>
    <t>Critical Alerts</t>
  </si>
  <si>
    <t>PRIORITY BREAKDOWN</t>
  </si>
  <si>
    <t>SAR METRICS</t>
  </si>
  <si>
    <t>Total SARs Filed</t>
  </si>
  <si>
    <t>SAR Filing Rate</t>
  </si>
  <si>
    <t>Avg Days to Close</t>
  </si>
  <si>
    <t>Sanctions SARs</t>
  </si>
  <si>
    <t>CALEDONIA BANK PLC — KYC/CDD RISK ASSESSMENT FRAMEWORK</t>
  </si>
  <si>
    <t>Regulatory basis: MLR 2017 Regulations 28, 33 &amp; 40 | JMLSG Guidance 2026 Part I Chapter 5 | FCA Financial Crime Guide</t>
  </si>
  <si>
    <t>SECTION 1 — CDD TIER DEFINITIONS</t>
  </si>
  <si>
    <t>CDD TIER</t>
  </si>
  <si>
    <t>REGULATORY BASIS</t>
  </si>
  <si>
    <t>CUSTOMER TYPE</t>
  </si>
  <si>
    <t>REVIEW FREQUENCY</t>
  </si>
  <si>
    <t>KEY REQUIREMENTS</t>
  </si>
  <si>
    <t>SDD (Simplified Due Diligence)</t>
  </si>
  <si>
    <t>MLR 2017 Reg 37</t>
  </si>
  <si>
    <t>3 years</t>
  </si>
  <si>
    <t>Verify entity type, confirm regulatory status, no source of funds required</t>
  </si>
  <si>
    <t>CDD (Customer Due Diligence)</t>
  </si>
  <si>
    <t>MLR 2017 Reg 28</t>
  </si>
  <si>
    <t>Standard retail and business customers</t>
  </si>
  <si>
    <t>1-2 years</t>
  </si>
  <si>
    <t>Photo ID, proof of address, source of funds for transactions &gt;£10,000</t>
  </si>
  <si>
    <t>EDD (Enhanced Due Diligence)</t>
  </si>
  <si>
    <t>MLR 2017 Reg 33</t>
  </si>
  <si>
    <t>PEPs, high-risk countries, complex structures, cash-intensive</t>
  </si>
  <si>
    <t>6 months</t>
  </si>
  <si>
    <t>Source of wealth, senior management approval, ongoing monitoring, adverse media</t>
  </si>
  <si>
    <t>SECTION 2 — CUSTOMER RISK SCORING MODEL</t>
  </si>
  <si>
    <t>RISK DIMENSION</t>
  </si>
  <si>
    <t>MAX SCORE</t>
  </si>
  <si>
    <t>SCORING CRITERIA</t>
  </si>
  <si>
    <t>WEIGHT</t>
  </si>
  <si>
    <t>Country Risk</t>
  </si>
  <si>
    <t>UK/EEA = 0-5pts, Standard = 6-15pts, FATF Grey List = 16-25pts, FATF High Risk = 26-30pts</t>
  </si>
  <si>
    <t>Customer Type</t>
  </si>
  <si>
    <t>Salaried individual = 0-5pts, Self-employed = 6-15pts, PEP/HNW = 16-22pts, Cash business = 23-25pts</t>
  </si>
  <si>
    <t>Product Risk</t>
  </si>
  <si>
    <t>Standard current account = 0-5pts, Business account = 6-12pts, International payments = 13-17pts, Private banking = 18-20pts</t>
  </si>
  <si>
    <t>Transaction Behaviour</t>
  </si>
  <si>
    <t>Expected pattern = 0-3pts, Minor anomalies = 4-8pts, Significant anomalies = 9-12pts, Structuring/layering = 13-15pts</t>
  </si>
  <si>
    <t>Adverse Information</t>
  </si>
  <si>
    <t>None = 0pts, Minor = 1-4pts, Significant = 5-7pts, Sanctions/PEP/Criminal = 8-10pts</t>
  </si>
  <si>
    <t>TOTAL</t>
  </si>
  <si>
    <t>SECTION 3 — CDD TIER ASSIGNMENT</t>
  </si>
  <si>
    <t>TOTAL SCORE RANGE</t>
  </si>
  <si>
    <t>RISK LEVEL</t>
  </si>
  <si>
    <t>ACTION REQUIRED</t>
  </si>
  <si>
    <t>EDD Urgent</t>
  </si>
  <si>
    <t>Immediate senior management review. Consider account closure. File SAR if suspicious.</t>
  </si>
  <si>
    <t>Enhanced Due Diligence required. 6-monthly review. Source of wealth mandatory.</t>
  </si>
  <si>
    <t>Standard Customer Due Diligence. Annual review. Photo ID and proof of address.</t>
  </si>
  <si>
    <t>LOW</t>
  </si>
  <si>
    <t>Simplified Due Diligence. 3-year review. Confirm regulated status only.</t>
  </si>
  <si>
    <t>SECTION 4 — CUSTOMER RISK REGISTER</t>
  </si>
  <si>
    <t>Risk scores applied to all 30 Caledonia Bank customers. CDD tier assigned based on Section 3 scoring model.</t>
  </si>
  <si>
    <t>NATIONALITY</t>
  </si>
  <si>
    <t>OCCUPATION</t>
  </si>
  <si>
    <t>COUNTRY RISK</t>
  </si>
  <si>
    <t>PRODUCT RISK</t>
  </si>
  <si>
    <t>TXN BEHAVIOUR</t>
  </si>
  <si>
    <t>ADVERSE INFO</t>
  </si>
  <si>
    <t>TOTAL SCORE</t>
  </si>
  <si>
    <t>TIER</t>
  </si>
  <si>
    <t>CALEDONIA BANK PLC — TRANSACTION MONITORING RULES SUMMARY</t>
  </si>
  <si>
    <t>RULES OVERVIEW</t>
  </si>
  <si>
    <t>RULE_ID</t>
  </si>
  <si>
    <t>RULE_NAME</t>
  </si>
  <si>
    <t>TYPOLOGY</t>
  </si>
  <si>
    <t>TRIGGER CONDITIONS</t>
  </si>
  <si>
    <t>THRESHOLD</t>
  </si>
  <si>
    <t>TRUE POSITIVE RATE</t>
  </si>
  <si>
    <t>Structuring / Smurfing</t>
  </si>
  <si>
    <t>Money Laundering — Placement</t>
  </si>
  <si>
    <t>£8,000 — £9,999 per transaction</t>
  </si>
  <si>
    <t>MLR 2017 Reg 28 | JMLSG Part I 6.13</t>
  </si>
  <si>
    <t>Review transaction history. File SAR if no legitimate explanation.</t>
  </si>
  <si>
    <t>Rapid In-Out / Pass Through</t>
  </si>
  <si>
    <t>Money Laundering — Layering</t>
  </si>
  <si>
    <t>Credit &gt;£10,000 followed by 80%+ debit within 48 hours</t>
  </si>
  <si>
    <t>&gt;£10,000 credit, &gt;80% debited within 48hrs</t>
  </si>
  <si>
    <t>MLR 2017 Reg 28 | JMLSG Part I 6.14</t>
  </si>
  <si>
    <t>Freeze account pending investigation. Verify source of funds.</t>
  </si>
  <si>
    <t>High Risk Jurisdiction Transfer</t>
  </si>
  <si>
    <t>Any amount</t>
  </si>
  <si>
    <t>MLR 2017 Reg 33 | FATF Recommendations 18-21</t>
  </si>
  <si>
    <t>Apply EDD. Verify purpose of transfer. Escalate to MLRO.</t>
  </si>
  <si>
    <t>Dormant Account Reactivation</t>
  </si>
  <si>
    <t>Any transaction &gt;£5,000 on account dormant 12+ months</t>
  </si>
  <si>
    <t>&gt;£5,000 on dormant account</t>
  </si>
  <si>
    <t>MLR 2017 Reg 28 | JMLSG Part I 6.22</t>
  </si>
  <si>
    <t>Contact customer. Verify source of funds. Re-KYC required.</t>
  </si>
  <si>
    <t>PEP High Value Transaction</t>
  </si>
  <si>
    <t>Bribery / Corruption</t>
  </si>
  <si>
    <t>PEP customer transaction exceeding £50,000</t>
  </si>
  <si>
    <t>&gt;£50,000 for PEP customers</t>
  </si>
  <si>
    <t>MLR 2017 Reg 35 | JMLSG Part I 5.7</t>
  </si>
  <si>
    <t>Senior management approval required. EDD review. Source of wealth verification.</t>
  </si>
  <si>
    <t>Pending</t>
  </si>
  <si>
    <t>Unusual Cash Intensity</t>
  </si>
  <si>
    <t>Total cash deposits exceed 200% of monthly expected turnover</t>
  </si>
  <si>
    <t>&gt;200% of expected monthly turnover</t>
  </si>
  <si>
    <t>MLR 2017 Reg 28 | JMLSG Part II 4.3</t>
  </si>
  <si>
    <t>Review cash source. Request business trading evidence.</t>
  </si>
  <si>
    <t>Round Tripping / Circular Funds</t>
  </si>
  <si>
    <t>Funds sent and returned between linked accounts within 14 days with &lt;5% variance</t>
  </si>
  <si>
    <t>&lt;5% variance on return within 14 days</t>
  </si>
  <si>
    <t>MLR 2017 Reg 28 | JMLSG Part I 6.15</t>
  </si>
  <si>
    <t>Map linked accounts. Verify business purpose. Escalate if no legitimate reason.</t>
  </si>
  <si>
    <t>Sanctions Screening Hit</t>
  </si>
  <si>
    <t>Sanctions Evasion</t>
  </si>
  <si>
    <t>Counterparty country matches OFSI consolidated sanctions list</t>
  </si>
  <si>
    <t>Any amount to sanctioned jurisdiction</t>
  </si>
  <si>
    <t>POCA 2002 S.330 | Sanctions Act 2018 | OFSI Guidance</t>
  </si>
  <si>
    <t>Block transaction immediately. Freeze account. File SAR same day. Notify MLRO within 2 hours.</t>
  </si>
  <si>
    <t>METRIC</t>
  </si>
  <si>
    <t>VALUE</t>
  </si>
  <si>
    <t>Total Active Rules</t>
  </si>
  <si>
    <t>Critical Priority Rules</t>
  </si>
  <si>
    <t>High Priority Rules</t>
  </si>
  <si>
    <t>Medium Priority Rules</t>
  </si>
  <si>
    <t>Overall True Positive Rate</t>
  </si>
  <si>
    <t>Rules Triggered in FY2024</t>
  </si>
  <si>
    <t>NOTE: All TM rules are reviewed quarterly per JMLSG 2026 guidance. Rules are back-tested against 12 months of transaction data annually. CRITICAL rules (TM-008) trigger automatic account freeze per OFSI financial sanctions guidance. All SARs submitted to NCA within 7 working days per POCA 2002 Section 330.</t>
  </si>
  <si>
    <t>RULES PERFORMANCE SUMMARY — FY2024</t>
  </si>
  <si>
    <t>SUSPICIOUS ACTIVITY REPORT (SAR)</t>
  </si>
  <si>
    <t>CALEDONIA BANK PLC</t>
  </si>
  <si>
    <t>SAR Reference: SAR-2024-001</t>
  </si>
  <si>
    <t>Submitted to: National Crime Agency (NCA)</t>
  </si>
  <si>
    <t>Regulatory basis: POCA 2002 S.330 | MLR 2017 | JMLSG 2026</t>
  </si>
  <si>
    <t>Field</t>
  </si>
  <si>
    <t>Value</t>
  </si>
  <si>
    <t>SAR Reference</t>
  </si>
  <si>
    <t>SAR-2024-001</t>
  </si>
  <si>
    <t>Date of Submission</t>
  </si>
  <si>
    <t>Submitted By</t>
  </si>
  <si>
    <t>MLRO Sign-Off</t>
  </si>
  <si>
    <t>Chief Compliance Officer</t>
  </si>
  <si>
    <t>Alert Reference</t>
  </si>
  <si>
    <t>TM Rule Triggered</t>
  </si>
  <si>
    <t>TM-001 — Structuring / Smurfing</t>
  </si>
  <si>
    <t>Classification</t>
  </si>
  <si>
    <t>TIPPING OFF WARNING — POCA 2002 SECTION 333A</t>
  </si>
  <si>
    <t>It is a criminal offence to disclose to the subject of this report that a SAR has been filed. Penalty: up to 5 years imprisonment. DO NOT contact the customer.</t>
  </si>
  <si>
    <t>SECTION 1 — SUBJECT DETAILS</t>
  </si>
  <si>
    <t>Customer Reference</t>
  </si>
  <si>
    <t>Customer Name</t>
  </si>
  <si>
    <t>Country of Residence</t>
  </si>
  <si>
    <t>United Kingdom</t>
  </si>
  <si>
    <t>Account Status</t>
  </si>
  <si>
    <t>KYC Tier</t>
  </si>
  <si>
    <t>Risk Rating</t>
  </si>
  <si>
    <t>Monthly Expected Turnover</t>
  </si>
  <si>
    <t>£8,000</t>
  </si>
  <si>
    <t>Account Open Date</t>
  </si>
  <si>
    <t>Previous SARs</t>
  </si>
  <si>
    <t>None</t>
  </si>
  <si>
    <t>The following suspicious activity was identified through the automated Transaction Monitoring system on 07 March 2024, triggering Rule TM-001 (Structuring / Smurfing).</t>
  </si>
  <si>
    <t>Transaction ID</t>
  </si>
  <si>
    <t>Type</t>
  </si>
  <si>
    <t>Amount</t>
  </si>
  <si>
    <t>Location</t>
  </si>
  <si>
    <t>Running Balance</t>
  </si>
  <si>
    <t>£9,500</t>
  </si>
  <si>
    <t>Edinburgh Branch</t>
  </si>
  <si>
    <t>£9,200</t>
  </si>
  <si>
    <t>£18,700</t>
  </si>
  <si>
    <t>£9,800</t>
  </si>
  <si>
    <t>£28,500</t>
  </si>
  <si>
    <t>SUMMARY OF ACTIVITY:</t>
  </si>
  <si>
    <t>The following red flags were identified during the investigation of Alert ALT001:</t>
  </si>
  <si>
    <t>INVESTIGATOR ASSESSMENT:</t>
  </si>
  <si>
    <t>Transaction pattern is consistent with the placement stage of money laundering, specifically structuring as defined in JMLSG 2026 Part I 6.13. No innocent explanation identified. SAR required under POCA 2002 Section 330.</t>
  </si>
  <si>
    <t>SECTION 4 — HOW THE ACTIVITY WAS DETECTED</t>
  </si>
  <si>
    <t>SECTION 3 — WHY THIS ACTIVITY IS SUSPICIOUS</t>
  </si>
  <si>
    <t>Detection Method</t>
  </si>
  <si>
    <t>Automated Transaction Monitoring System</t>
  </si>
  <si>
    <t>Rule Logic</t>
  </si>
  <si>
    <t>3+ cash deposits between £8,000-£9,999 within 30 days</t>
  </si>
  <si>
    <t>Alert Generated</t>
  </si>
  <si>
    <t>Alert Priority</t>
  </si>
  <si>
    <t>Assigned To</t>
  </si>
  <si>
    <t>Investigation Commenced</t>
  </si>
  <si>
    <t>Investigation Completed</t>
  </si>
  <si>
    <t>Total Investigation Time</t>
  </si>
  <si>
    <t>8 days</t>
  </si>
  <si>
    <t>INVESTIGATION STEPS TAKEN:</t>
  </si>
  <si>
    <t>SECTION 5 — ACTION TAKEN</t>
  </si>
  <si>
    <t>SAR Filed</t>
  </si>
  <si>
    <t>Date Filed</t>
  </si>
  <si>
    <t>Submitted To</t>
  </si>
  <si>
    <t>National Crime Agency via SARs Online</t>
  </si>
  <si>
    <t>DAML Consent Requested</t>
  </si>
  <si>
    <t>Account Frozen</t>
  </si>
  <si>
    <t>Customer Notified</t>
  </si>
  <si>
    <t>MLRO Notified</t>
  </si>
  <si>
    <t>Enhanced Monitoring</t>
  </si>
  <si>
    <t>KYC Review Required</t>
  </si>
  <si>
    <t>Next Review Date</t>
  </si>
  <si>
    <t>DAML — DEFENCE AGAINST MONEY LAUNDERING</t>
  </si>
  <si>
    <t>A DAML consent must be obtained from the NCA before proceeding with any transaction suspected to involve criminal property. The NCA has 7 working days to respond. Proceeding without consent is a criminal offence under POCA 2002 Section 328.</t>
  </si>
  <si>
    <t>REGULATORY OBLIGATIONS MET:</t>
  </si>
  <si>
    <t>SAR filed within 7 working days per JMLSG 2026 guidance. Tipping off restriction observed throughout. MLRO approved prior to submission. All documentation retained for 5 years per MLR 2017 Regulation 40.</t>
  </si>
  <si>
    <t>Total Alerts Generated FY2024</t>
  </si>
  <si>
    <t>ALERTS TRIGGERED FY2024</t>
  </si>
  <si>
    <t>3 or more cash deposits between £8,000-£9,999 within 30 days, or any single cash deposit of £9,500 or above</t>
  </si>
  <si>
    <t>Total score out of 100 points across 5 risk dimensions. Higher score = higher risk. Score determines CDD tier assignment.</t>
  </si>
  <si>
    <t>0 — 20</t>
  </si>
  <si>
    <t>21 — 50</t>
  </si>
  <si>
    <t>51 — 75</t>
  </si>
  <si>
    <t>76 — 100</t>
  </si>
  <si>
    <t>Note: False Positive Rate of 20% is within acceptable industry range (15-25%). SAR filing rate of 50% reflects conservative approach aligned to JMLSG 2026 guidance. All SARs submitted to NCA within 7 working days per POCA 2002 Section 330.</t>
  </si>
  <si>
    <t>Unique identifier for each transaction (T001–T200)</t>
  </si>
  <si>
    <t>ALT001–ALT010</t>
  </si>
  <si>
    <t>Any transaction to/from a FATF high-risk jurisdiction (call-for-action list)</t>
  </si>
  <si>
    <t>COMPLEX CORPORATE STRUCTURE</t>
  </si>
  <si>
    <t>Moscow Export Co</t>
  </si>
  <si>
    <t>UK/EEA regulated firms, listed companies, public authorities, and low-risk retail customers scoring ≤ 20 points</t>
  </si>
  <si>
    <t>AML Analyst</t>
  </si>
  <si>
    <t>TM-009</t>
  </si>
  <si>
    <t>AML Analyst — Financial Crime Team</t>
  </si>
  <si>
    <t>SUSPICIOUS ACTIVITY REPORT | SAR-2024-001 | Caledonia Bank plc | SAMPLE — SYNTHETIC DATA</t>
  </si>
  <si>
    <t>SAMPLE — SYNTHETIC DATA FOR DEMONSTRATION ONLY</t>
  </si>
  <si>
    <t>Corporate credit &gt;£50,000 followed by intercompany transfer where UBO not verified</t>
  </si>
  <si>
    <t>&gt;£50,000 corporate credit, UBO unverified</t>
  </si>
  <si>
    <t>MLR 2017 Reg 28 | JMLSG Part I 5.3</t>
  </si>
  <si>
    <t>Verify UBO and ownership structure. Map group entities. Escalate to MLRO if opacity persists.</t>
  </si>
  <si>
    <t>Regulatory basis: MLR 2017 | JMLSG 2026 | POCA 2002 | FCA Financial Crime Guide | OFSI | 9 Active Rules | Last reviewed: 23/06/2026</t>
  </si>
  <si>
    <t>1. Three cash deposits over 5 consecutive days totalling £28,500</t>
  </si>
  <si>
    <t>2. All deposits just below £10,000 reporting threshold — classic structuring</t>
  </si>
  <si>
    <t>3.Total represents 356% of monthly expected turnover of £8,000</t>
  </si>
  <si>
    <t>4.Deposits made at the same branch within a 5-day period</t>
  </si>
  <si>
    <t>5.No legitimate business explanation provided</t>
  </si>
  <si>
    <t>SECTION 2: SUSPICIOUS ACTIVITY</t>
  </si>
  <si>
    <t>1.SUB-THRESHOLD STRUCTURING: All three deposits deliberately structured just below £10,000. JMLSG 2026 Part I 6.13 identifies this as a primary indicator of placement activity.</t>
  </si>
  <si>
    <t>2.VOLUME ANOMALY: £28,500 total represents 356% of declared monthly turnover of £8,000 — unexplained and inconsistent with occupation.</t>
  </si>
  <si>
    <t>3.FREQUENCY ANOMALY: Three deposits in 5 days is inconsistent with normal transaction pattern. Historical average is £3,000-£4,000 per month.</t>
  </si>
  <si>
    <t>4.COUNTERPARTY: All deposits listed as Cash with no identifiable counterparty — consistent with placement stage of money laundering.</t>
  </si>
  <si>
    <t>5.PRIOR FLAG: No previous alerts or SARs recorded against this customer — this is the first suspicious activity identified on the account.</t>
  </si>
  <si>
    <t>1.Alert reviewed and accepted for investigation on 07/03/2024</t>
  </si>
  <si>
    <t>2.Full 12-month transaction history reviewed</t>
  </si>
  <si>
    <t>3.Customer profile and KYC documentation reviewed</t>
  </si>
  <si>
    <t>4.PEP and sanctions screening re-run- no hits</t>
  </si>
  <si>
    <t>5.Adverse media search conducted- no results</t>
  </si>
  <si>
    <t>6.Prior alert history reviewed - no previous alerts on this customer</t>
  </si>
  <si>
    <t>7.No innocent explanation identified - decision to file SAR</t>
  </si>
  <si>
    <t>AML Analyst - Financial Crime Team</t>
  </si>
  <si>
    <t>Redacted - available on secure system</t>
  </si>
  <si>
    <t>TM-001  Structuring / Smurfing</t>
  </si>
  <si>
    <t>YES  - SAR-2024-001</t>
  </si>
  <si>
    <t>NO -  No pending transactions</t>
  </si>
  <si>
    <t>NO - Enhanced monitoring applied</t>
  </si>
  <si>
    <t>NO - Tipping off restriction applies</t>
  </si>
  <si>
    <t>YES - 07/03/2024</t>
  </si>
  <si>
    <t>YES - Real-time alerts activated</t>
  </si>
  <si>
    <t>YES - Full CDD refresh within 30 days</t>
  </si>
  <si>
    <t>8.SAR drafted and reviewed by MLRO- approved 15/03/2024</t>
  </si>
  <si>
    <t>9.SAR submitted to NCA via SARs Online portal</t>
  </si>
  <si>
    <t xml:space="preserve">POCA 2002 S.333A — TIPPING OFF OFFENCE APPLIES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</si>
</sst>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\£#,##0"/>
  </numFmts>
  <fonts count="5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0"/>
      <name val="Helvetica Neue"/>
      <family val="2"/>
    </font>
    <font>
      <b/>
      <sz val="14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theme="5" tint="-0.249977111117893"/>
      <name val="Arial"/>
      <family val="2"/>
    </font>
    <font>
      <b/>
      <sz val="10"/>
      <color rgb="FF7030A0"/>
      <name val="Arial"/>
      <family val="2"/>
    </font>
    <font>
      <b/>
      <sz val="10"/>
      <color theme="7" tint="-0.249977111117893"/>
      <name val="Arial"/>
      <family val="2"/>
    </font>
    <font>
      <b/>
      <sz val="10"/>
      <color theme="8" tint="-0.499984740745262"/>
      <name val="Arial"/>
      <family val="2"/>
    </font>
    <font>
      <b/>
      <sz val="10"/>
      <color rgb="FF002060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4" tint="-0.249977111117893"/>
      <name val="Arial"/>
      <family val="2"/>
    </font>
    <font>
      <sz val="12"/>
      <name val="Arial"/>
      <family val="2"/>
    </font>
    <font>
      <b/>
      <sz val="12"/>
      <color rgb="FFFFFFFF"/>
      <name val="Arial"/>
      <family val="2"/>
    </font>
    <font>
      <b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2"/>
      <color theme="2" tint="-0.499984740745262"/>
      <name val="Calibri"/>
      <family val="2"/>
      <scheme val="minor"/>
    </font>
    <font>
      <sz val="14"/>
      <color rgb="FFFFFFFF"/>
      <name val="-webkit-standard"/>
    </font>
    <font>
      <i/>
      <sz val="12"/>
      <color theme="1"/>
      <name val="Calibri"/>
      <family val="2"/>
      <scheme val="minor"/>
    </font>
    <font>
      <b/>
      <i/>
      <sz val="12"/>
      <color theme="2" tint="-0.249977111117893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9"/>
      <color rgb="FF555555"/>
      <name val="Arial"/>
      <family val="2"/>
    </font>
    <font>
      <b/>
      <sz val="12"/>
      <color rgb="FF1F3864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1D5C1D"/>
      <name val="Calibri"/>
      <family val="2"/>
      <scheme val="minor"/>
    </font>
    <font>
      <b/>
      <sz val="12"/>
      <color rgb="FFA32D2D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8"/>
      <color theme="4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b/>
      <sz val="14"/>
      <color theme="2" tint="-0.499984740745262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2"/>
      <color rgb="FF9C0006"/>
      <name val="Calibri"/>
      <family val="2"/>
      <scheme val="minor"/>
    </font>
    <font>
      <b/>
      <sz val="14"/>
      <color rgb="FF9C0006"/>
      <name val="Calibri"/>
      <family val="2"/>
      <scheme val="minor"/>
    </font>
    <font>
      <b/>
      <sz val="14"/>
      <color rgb="FF9C6500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4"/>
      <color rgb="FF404040"/>
      <name val="Calibri"/>
      <family val="2"/>
      <scheme val="minor"/>
    </font>
    <font>
      <b/>
      <sz val="12"/>
      <color rgb="FF9C6500"/>
      <name val="Calibri"/>
      <family val="2"/>
      <scheme val="minor"/>
    </font>
    <font>
      <b/>
      <sz val="12"/>
      <color rgb="FF7F6000"/>
      <name val="Calibri"/>
      <family val="2"/>
      <scheme val="minor"/>
    </font>
    <font>
      <b/>
      <sz val="14"/>
      <color theme="0"/>
      <name val="Calibri (Body)"/>
    </font>
    <font>
      <b/>
      <i/>
      <sz val="14"/>
      <color rgb="FFFF000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9" tint="-0.24997711111789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FFFFFF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rgb="FFF2F4F7"/>
      </patternFill>
    </fill>
    <fill>
      <patternFill patternType="solid">
        <fgColor rgb="FFF2F2F2"/>
        <bgColor rgb="FFF2F4F7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6A8B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F26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5E8F0"/>
      </patternFill>
    </fill>
    <fill>
      <patternFill patternType="solid">
        <fgColor rgb="FFD5E8F0"/>
        <bgColor rgb="FFE2EFDA"/>
      </patternFill>
    </fill>
    <fill>
      <patternFill patternType="solid">
        <fgColor rgb="FF1F3864"/>
        <bgColor rgb="FF2038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5E8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BDD7EE"/>
        <bgColor indexed="64"/>
      </patternFill>
    </fill>
  </fills>
  <borders count="2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6" fillId="0" borderId="0" xfId="0" applyFont="1"/>
    <xf numFmtId="0" fontId="15" fillId="4" borderId="0" xfId="0" applyFont="1" applyFill="1"/>
    <xf numFmtId="0" fontId="18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8" fillId="0" borderId="3" xfId="0" applyFont="1" applyBorder="1"/>
    <xf numFmtId="0" fontId="18" fillId="0" borderId="3" xfId="0" applyFont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9" borderId="3" xfId="0" applyFont="1" applyFill="1" applyBorder="1" applyAlignment="1">
      <alignment horizontal="center"/>
    </xf>
    <xf numFmtId="0" fontId="18" fillId="10" borderId="3" xfId="0" applyFont="1" applyFill="1" applyBorder="1"/>
    <xf numFmtId="0" fontId="21" fillId="0" borderId="0" xfId="0" applyFont="1"/>
    <xf numFmtId="0" fontId="23" fillId="0" borderId="0" xfId="0" applyFont="1"/>
    <xf numFmtId="0" fontId="20" fillId="0" borderId="0" xfId="0" applyFont="1"/>
    <xf numFmtId="0" fontId="24" fillId="0" borderId="0" xfId="0" applyFont="1" applyAlignment="1">
      <alignment horizontal="center"/>
    </xf>
    <xf numFmtId="0" fontId="0" fillId="11" borderId="5" xfId="0" applyFill="1" applyBorder="1" applyAlignment="1">
      <alignment vertical="center"/>
    </xf>
    <xf numFmtId="0" fontId="0" fillId="11" borderId="5" xfId="0" applyFill="1" applyBorder="1" applyAlignment="1">
      <alignment horizontal="center" vertical="center"/>
    </xf>
    <xf numFmtId="0" fontId="0" fillId="11" borderId="5" xfId="0" applyFill="1" applyBorder="1" applyAlignment="1">
      <alignment vertical="center" wrapText="1"/>
    </xf>
    <xf numFmtId="0" fontId="0" fillId="12" borderId="5" xfId="0" applyFill="1" applyBorder="1" applyAlignment="1">
      <alignment vertical="center"/>
    </xf>
    <xf numFmtId="0" fontId="0" fillId="12" borderId="5" xfId="0" applyFill="1" applyBorder="1" applyAlignment="1">
      <alignment horizontal="center" vertical="center"/>
    </xf>
    <xf numFmtId="0" fontId="0" fillId="12" borderId="5" xfId="0" applyFill="1" applyBorder="1" applyAlignment="1">
      <alignment vertical="center" wrapText="1"/>
    </xf>
    <xf numFmtId="0" fontId="0" fillId="13" borderId="5" xfId="0" applyFill="1" applyBorder="1" applyAlignment="1">
      <alignment vertical="center"/>
    </xf>
    <xf numFmtId="0" fontId="0" fillId="13" borderId="5" xfId="0" applyFill="1" applyBorder="1" applyAlignment="1">
      <alignment horizontal="center" vertical="center"/>
    </xf>
    <xf numFmtId="0" fontId="0" fillId="13" borderId="5" xfId="0" applyFill="1" applyBorder="1" applyAlignment="1">
      <alignment vertical="center" wrapText="1"/>
    </xf>
    <xf numFmtId="0" fontId="24" fillId="4" borderId="5" xfId="0" applyFont="1" applyFill="1" applyBorder="1" applyAlignment="1">
      <alignment horizontal="center"/>
    </xf>
    <xf numFmtId="0" fontId="24" fillId="4" borderId="5" xfId="0" applyFont="1" applyFill="1" applyBorder="1"/>
    <xf numFmtId="0" fontId="24" fillId="4" borderId="5" xfId="0" applyFont="1" applyFill="1" applyBorder="1" applyAlignment="1">
      <alignment horizontal="center" vertical="center"/>
    </xf>
    <xf numFmtId="9" fontId="24" fillId="4" borderId="5" xfId="0" applyNumberFormat="1" applyFont="1" applyFill="1" applyBorder="1" applyAlignment="1">
      <alignment horizontal="center"/>
    </xf>
    <xf numFmtId="0" fontId="0" fillId="10" borderId="5" xfId="0" applyFill="1" applyBorder="1" applyAlignment="1">
      <alignment horizontal="left" vertical="center"/>
    </xf>
    <xf numFmtId="0" fontId="0" fillId="10" borderId="5" xfId="0" applyFill="1" applyBorder="1" applyAlignment="1">
      <alignment horizontal="center" vertical="center"/>
    </xf>
    <xf numFmtId="9" fontId="0" fillId="10" borderId="5" xfId="0" applyNumberFormat="1" applyFill="1" applyBorder="1" applyAlignment="1">
      <alignment horizontal="center" vertical="center"/>
    </xf>
    <xf numFmtId="0" fontId="0" fillId="14" borderId="5" xfId="0" applyFill="1" applyBorder="1" applyAlignment="1">
      <alignment horizontal="left" vertical="center"/>
    </xf>
    <xf numFmtId="0" fontId="0" fillId="14" borderId="5" xfId="0" applyFill="1" applyBorder="1" applyAlignment="1">
      <alignment horizontal="center" vertical="center"/>
    </xf>
    <xf numFmtId="9" fontId="0" fillId="14" borderId="5" xfId="0" applyNumberForma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left" vertical="center" wrapText="1"/>
    </xf>
    <xf numFmtId="0" fontId="22" fillId="14" borderId="5" xfId="0" applyFont="1" applyFill="1" applyBorder="1" applyAlignment="1">
      <alignment horizontal="left" vertical="center" wrapText="1"/>
    </xf>
    <xf numFmtId="0" fontId="3" fillId="4" borderId="5" xfId="0" applyFont="1" applyFill="1" applyBorder="1"/>
    <xf numFmtId="0" fontId="1" fillId="15" borderId="5" xfId="0" applyFont="1" applyFill="1" applyBorder="1" applyAlignment="1">
      <alignment horizontal="left" vertical="center"/>
    </xf>
    <xf numFmtId="0" fontId="1" fillId="15" borderId="5" xfId="0" applyFont="1" applyFill="1" applyBorder="1" applyAlignment="1">
      <alignment horizontal="center" vertical="center"/>
    </xf>
    <xf numFmtId="0" fontId="16" fillId="15" borderId="5" xfId="0" applyFont="1" applyFill="1" applyBorder="1" applyAlignment="1">
      <alignment horizontal="left" vertical="center" wrapText="1"/>
    </xf>
    <xf numFmtId="0" fontId="1" fillId="13" borderId="5" xfId="0" applyFont="1" applyFill="1" applyBorder="1" applyAlignment="1">
      <alignment horizontal="left" vertical="center"/>
    </xf>
    <xf numFmtId="0" fontId="1" fillId="13" borderId="5" xfId="0" applyFont="1" applyFill="1" applyBorder="1" applyAlignment="1">
      <alignment horizontal="center" vertical="center"/>
    </xf>
    <xf numFmtId="0" fontId="16" fillId="13" borderId="5" xfId="0" applyFont="1" applyFill="1" applyBorder="1" applyAlignment="1">
      <alignment horizontal="left" vertical="center" wrapText="1"/>
    </xf>
    <xf numFmtId="0" fontId="1" fillId="16" borderId="5" xfId="0" applyFont="1" applyFill="1" applyBorder="1" applyAlignment="1">
      <alignment horizontal="left" vertical="center"/>
    </xf>
    <xf numFmtId="0" fontId="1" fillId="16" borderId="5" xfId="0" applyFont="1" applyFill="1" applyBorder="1" applyAlignment="1">
      <alignment horizontal="center" vertical="center"/>
    </xf>
    <xf numFmtId="0" fontId="16" fillId="16" borderId="5" xfId="0" applyFont="1" applyFill="1" applyBorder="1" applyAlignment="1">
      <alignment horizontal="left" vertical="center" wrapText="1"/>
    </xf>
    <xf numFmtId="0" fontId="1" fillId="11" borderId="5" xfId="0" applyFont="1" applyFill="1" applyBorder="1" applyAlignment="1">
      <alignment horizontal="left" vertical="center"/>
    </xf>
    <xf numFmtId="0" fontId="1" fillId="11" borderId="5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0" fontId="15" fillId="4" borderId="5" xfId="0" applyFont="1" applyFill="1" applyBorder="1"/>
    <xf numFmtId="0" fontId="31" fillId="6" borderId="5" xfId="0" applyFont="1" applyFill="1" applyBorder="1" applyAlignment="1">
      <alignment horizontal="left" vertical="center" wrapText="1"/>
    </xf>
    <xf numFmtId="0" fontId="32" fillId="6" borderId="5" xfId="0" applyFont="1" applyFill="1" applyBorder="1" applyAlignment="1">
      <alignment horizontal="center" vertical="center"/>
    </xf>
    <xf numFmtId="9" fontId="33" fillId="18" borderId="5" xfId="0" applyNumberFormat="1" applyFont="1" applyFill="1" applyBorder="1" applyAlignment="1">
      <alignment horizontal="center" vertical="center"/>
    </xf>
    <xf numFmtId="0" fontId="31" fillId="5" borderId="5" xfId="0" applyFont="1" applyFill="1" applyBorder="1" applyAlignment="1">
      <alignment horizontal="left" vertical="center" wrapText="1"/>
    </xf>
    <xf numFmtId="0" fontId="32" fillId="5" borderId="5" xfId="0" applyFont="1" applyFill="1" applyBorder="1" applyAlignment="1">
      <alignment horizontal="center" vertical="center"/>
    </xf>
    <xf numFmtId="0" fontId="30" fillId="19" borderId="5" xfId="0" applyFont="1" applyFill="1" applyBorder="1" applyAlignment="1">
      <alignment horizontal="center" vertical="center"/>
    </xf>
    <xf numFmtId="0" fontId="26" fillId="20" borderId="5" xfId="0" applyFont="1" applyFill="1" applyBorder="1" applyAlignment="1">
      <alignment horizontal="center" vertical="center" wrapText="1"/>
    </xf>
    <xf numFmtId="0" fontId="27" fillId="6" borderId="5" xfId="0" applyFont="1" applyFill="1" applyBorder="1" applyAlignment="1">
      <alignment horizontal="left" vertical="center"/>
    </xf>
    <xf numFmtId="0" fontId="28" fillId="6" borderId="5" xfId="0" applyFont="1" applyFill="1" applyBorder="1" applyAlignment="1">
      <alignment horizontal="center" vertical="center"/>
    </xf>
    <xf numFmtId="0" fontId="27" fillId="5" borderId="5" xfId="0" applyFont="1" applyFill="1" applyBorder="1" applyAlignment="1">
      <alignment horizontal="left" vertical="center"/>
    </xf>
    <xf numFmtId="0" fontId="28" fillId="5" borderId="5" xfId="0" applyFont="1" applyFill="1" applyBorder="1" applyAlignment="1">
      <alignment horizontal="center" vertical="center"/>
    </xf>
    <xf numFmtId="9" fontId="28" fillId="5" borderId="5" xfId="0" applyNumberFormat="1" applyFont="1" applyFill="1" applyBorder="1" applyAlignment="1">
      <alignment horizontal="center" vertical="center"/>
    </xf>
    <xf numFmtId="0" fontId="30" fillId="6" borderId="5" xfId="0" applyFont="1" applyFill="1" applyBorder="1" applyAlignment="1">
      <alignment horizontal="center" vertical="top"/>
    </xf>
    <xf numFmtId="0" fontId="30" fillId="5" borderId="5" xfId="0" applyFont="1" applyFill="1" applyBorder="1" applyAlignment="1">
      <alignment horizontal="center" vertical="top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7" fillId="0" borderId="4" xfId="0" applyFont="1" applyBorder="1" applyAlignment="1">
      <alignment horizontal="left" vertical="center" wrapText="1"/>
    </xf>
    <xf numFmtId="0" fontId="17" fillId="5" borderId="4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35" fillId="0" borderId="0" xfId="0" applyFont="1"/>
    <xf numFmtId="0" fontId="36" fillId="0" borderId="0" xfId="0" applyFont="1"/>
    <xf numFmtId="0" fontId="37" fillId="0" borderId="0" xfId="0" applyFont="1"/>
    <xf numFmtId="0" fontId="1" fillId="0" borderId="0" xfId="0" applyFont="1"/>
    <xf numFmtId="0" fontId="38" fillId="0" borderId="0" xfId="0" applyFont="1"/>
    <xf numFmtId="0" fontId="16" fillId="21" borderId="0" xfId="0" applyFont="1" applyFill="1"/>
    <xf numFmtId="0" fontId="39" fillId="21" borderId="0" xfId="0" applyFont="1" applyFill="1"/>
    <xf numFmtId="0" fontId="40" fillId="0" borderId="0" xfId="0" applyFont="1"/>
    <xf numFmtId="0" fontId="41" fillId="0" borderId="0" xfId="0" applyFont="1"/>
    <xf numFmtId="0" fontId="42" fillId="0" borderId="0" xfId="0" applyFont="1"/>
    <xf numFmtId="18" fontId="0" fillId="0" borderId="0" xfId="0" applyNumberFormat="1"/>
    <xf numFmtId="9" fontId="34" fillId="17" borderId="5" xfId="0" applyNumberFormat="1" applyFont="1" applyFill="1" applyBorder="1" applyAlignment="1">
      <alignment horizontal="center" vertical="center"/>
    </xf>
    <xf numFmtId="164" fontId="17" fillId="5" borderId="4" xfId="0" applyNumberFormat="1" applyFont="1" applyFill="1" applyBorder="1" applyAlignment="1">
      <alignment horizontal="center" vertical="center"/>
    </xf>
    <xf numFmtId="164" fontId="17" fillId="6" borderId="4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64" fontId="5" fillId="2" borderId="2" xfId="0" applyNumberFormat="1" applyFont="1" applyFill="1" applyBorder="1" applyAlignment="1">
      <alignment horizontal="left" vertical="center"/>
    </xf>
    <xf numFmtId="0" fontId="18" fillId="16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8" fillId="10" borderId="3" xfId="0" applyFont="1" applyFill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5" xfId="0" applyFont="1" applyBorder="1" applyAlignment="1">
      <alignment horizontal="left"/>
    </xf>
    <xf numFmtId="0" fontId="3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24" fillId="4" borderId="8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9" fillId="0" borderId="0" xfId="0" applyFont="1" applyAlignment="1">
      <alignment horizontal="left" vertical="center" wrapText="1"/>
    </xf>
    <xf numFmtId="0" fontId="31" fillId="25" borderId="5" xfId="0" applyFont="1" applyFill="1" applyBorder="1" applyAlignment="1">
      <alignment horizontal="left" vertical="center" wrapText="1"/>
    </xf>
    <xf numFmtId="0" fontId="32" fillId="25" borderId="5" xfId="0" applyFont="1" applyFill="1" applyBorder="1" applyAlignment="1">
      <alignment horizontal="center" vertical="center"/>
    </xf>
    <xf numFmtId="0" fontId="30" fillId="25" borderId="5" xfId="0" applyFont="1" applyFill="1" applyBorder="1" applyAlignment="1">
      <alignment horizontal="center" vertical="top"/>
    </xf>
    <xf numFmtId="0" fontId="32" fillId="26" borderId="5" xfId="0" applyFont="1" applyFill="1" applyBorder="1" applyAlignment="1">
      <alignment horizontal="center" vertical="center"/>
    </xf>
    <xf numFmtId="0" fontId="32" fillId="27" borderId="5" xfId="0" applyFont="1" applyFill="1" applyBorder="1" applyAlignment="1">
      <alignment horizontal="center" vertical="center"/>
    </xf>
    <xf numFmtId="0" fontId="32" fillId="7" borderId="5" xfId="0" applyFont="1" applyFill="1" applyBorder="1" applyAlignment="1">
      <alignment horizontal="center" vertical="center"/>
    </xf>
    <xf numFmtId="0" fontId="30" fillId="28" borderId="5" xfId="0" applyNumberFormat="1" applyFont="1" applyFill="1" applyBorder="1" applyAlignment="1">
      <alignment horizontal="center" vertical="center"/>
    </xf>
    <xf numFmtId="9" fontId="33" fillId="29" borderId="5" xfId="0" applyNumberFormat="1" applyFont="1" applyFill="1" applyBorder="1" applyAlignment="1">
      <alignment horizontal="center" vertical="center"/>
    </xf>
    <xf numFmtId="9" fontId="18" fillId="0" borderId="3" xfId="0" applyNumberFormat="1" applyFont="1" applyBorder="1" applyAlignment="1">
      <alignment horizontal="center"/>
    </xf>
    <xf numFmtId="165" fontId="17" fillId="0" borderId="4" xfId="0" applyNumberFormat="1" applyFont="1" applyBorder="1" applyAlignment="1">
      <alignment horizontal="center" vertical="center"/>
    </xf>
    <xf numFmtId="0" fontId="45" fillId="22" borderId="4" xfId="0" applyFont="1" applyFill="1" applyBorder="1" applyAlignment="1">
      <alignment horizontal="center" vertical="center"/>
    </xf>
    <xf numFmtId="0" fontId="46" fillId="24" borderId="4" xfId="0" applyFont="1" applyFill="1" applyBorder="1" applyAlignment="1">
      <alignment horizontal="center" vertical="center"/>
    </xf>
    <xf numFmtId="0" fontId="47" fillId="23" borderId="4" xfId="0" applyFont="1" applyFill="1" applyBorder="1" applyAlignment="1">
      <alignment horizontal="center" vertical="center"/>
    </xf>
    <xf numFmtId="0" fontId="48" fillId="30" borderId="4" xfId="0" applyFont="1" applyFill="1" applyBorder="1" applyAlignment="1">
      <alignment horizontal="center" vertical="center"/>
    </xf>
    <xf numFmtId="0" fontId="2" fillId="31" borderId="0" xfId="0" applyFont="1" applyFill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43" fillId="23" borderId="0" xfId="0" applyFont="1" applyFill="1" applyAlignment="1">
      <alignment horizontal="left"/>
    </xf>
    <xf numFmtId="0" fontId="30" fillId="32" borderId="0" xfId="0" applyFont="1" applyFill="1" applyAlignment="1">
      <alignment horizontal="left"/>
    </xf>
    <xf numFmtId="0" fontId="49" fillId="24" borderId="0" xfId="0" applyFont="1" applyFill="1" applyAlignment="1">
      <alignment horizontal="left"/>
    </xf>
    <xf numFmtId="0" fontId="50" fillId="26" borderId="0" xfId="0" applyFont="1" applyFill="1" applyAlignment="1">
      <alignment horizontal="left"/>
    </xf>
    <xf numFmtId="0" fontId="44" fillId="22" borderId="0" xfId="0" applyFont="1" applyFill="1" applyAlignment="1">
      <alignment horizontal="left"/>
    </xf>
    <xf numFmtId="0" fontId="25" fillId="7" borderId="0" xfId="0" applyFont="1" applyFill="1" applyAlignment="1">
      <alignment horizontal="left"/>
    </xf>
    <xf numFmtId="0" fontId="3" fillId="31" borderId="0" xfId="0" applyFont="1" applyFill="1"/>
    <xf numFmtId="165" fontId="5" fillId="2" borderId="1" xfId="0" applyNumberFormat="1" applyFont="1" applyFill="1" applyBorder="1" applyAlignment="1">
      <alignment horizontal="left" vertical="center"/>
    </xf>
    <xf numFmtId="165" fontId="5" fillId="3" borderId="1" xfId="0" applyNumberFormat="1" applyFont="1" applyFill="1" applyBorder="1" applyAlignment="1">
      <alignment horizontal="left" vertical="center"/>
    </xf>
    <xf numFmtId="165" fontId="5" fillId="2" borderId="2" xfId="0" applyNumberFormat="1" applyFont="1" applyFill="1" applyBorder="1" applyAlignment="1">
      <alignment horizontal="left" vertical="center"/>
    </xf>
    <xf numFmtId="0" fontId="0" fillId="25" borderId="5" xfId="0" applyFill="1" applyBorder="1" applyAlignment="1">
      <alignment horizontal="left"/>
    </xf>
    <xf numFmtId="0" fontId="0" fillId="25" borderId="5" xfId="0" applyFill="1" applyBorder="1" applyAlignment="1">
      <alignment horizontal="center"/>
    </xf>
    <xf numFmtId="0" fontId="43" fillId="23" borderId="5" xfId="0" applyFont="1" applyFill="1" applyBorder="1" applyAlignment="1">
      <alignment horizontal="center"/>
    </xf>
    <xf numFmtId="0" fontId="30" fillId="32" borderId="5" xfId="0" applyFont="1" applyFill="1" applyBorder="1" applyAlignment="1">
      <alignment horizontal="center"/>
    </xf>
    <xf numFmtId="0" fontId="50" fillId="26" borderId="5" xfId="0" applyFont="1" applyFill="1" applyBorder="1" applyAlignment="1">
      <alignment horizontal="center"/>
    </xf>
    <xf numFmtId="0" fontId="25" fillId="7" borderId="5" xfId="0" applyFont="1" applyFill="1" applyBorder="1" applyAlignment="1">
      <alignment horizontal="center"/>
    </xf>
    <xf numFmtId="0" fontId="14" fillId="31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left" vertical="top"/>
    </xf>
    <xf numFmtId="0" fontId="13" fillId="2" borderId="3" xfId="0" applyFont="1" applyFill="1" applyBorder="1" applyAlignment="1">
      <alignment horizontal="left" vertical="top" wrapText="1"/>
    </xf>
    <xf numFmtId="0" fontId="13" fillId="3" borderId="3" xfId="0" applyFont="1" applyFill="1" applyBorder="1" applyAlignment="1">
      <alignment horizontal="left" vertical="top"/>
    </xf>
    <xf numFmtId="0" fontId="13" fillId="3" borderId="3" xfId="0" applyFont="1" applyFill="1" applyBorder="1" applyAlignment="1">
      <alignment horizontal="left" vertical="top" wrapText="1"/>
    </xf>
    <xf numFmtId="0" fontId="0" fillId="21" borderId="0" xfId="0" applyFill="1"/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/>
    <xf numFmtId="0" fontId="3" fillId="4" borderId="12" xfId="0" applyFont="1" applyFill="1" applyBorder="1" applyAlignment="1">
      <alignment horizontal="left"/>
    </xf>
    <xf numFmtId="0" fontId="19" fillId="0" borderId="12" xfId="0" applyFont="1" applyBorder="1" applyAlignment="1">
      <alignment horizontal="left"/>
    </xf>
    <xf numFmtId="164" fontId="19" fillId="0" borderId="12" xfId="0" applyNumberFormat="1" applyFont="1" applyBorder="1" applyAlignment="1">
      <alignment horizontal="left"/>
    </xf>
    <xf numFmtId="0" fontId="19" fillId="0" borderId="14" xfId="0" applyFont="1" applyBorder="1" applyAlignment="1">
      <alignment horizontal="left"/>
    </xf>
    <xf numFmtId="0" fontId="18" fillId="10" borderId="11" xfId="0" applyFont="1" applyFill="1" applyBorder="1"/>
    <xf numFmtId="0" fontId="18" fillId="10" borderId="13" xfId="0" applyFont="1" applyFill="1" applyBorder="1"/>
    <xf numFmtId="0" fontId="3" fillId="4" borderId="15" xfId="0" applyFont="1" applyFill="1" applyBorder="1"/>
    <xf numFmtId="0" fontId="3" fillId="4" borderId="16" xfId="0" applyFont="1" applyFill="1" applyBorder="1" applyAlignment="1">
      <alignment horizontal="left"/>
    </xf>
    <xf numFmtId="0" fontId="16" fillId="10" borderId="0" xfId="0" applyFont="1" applyFill="1"/>
    <xf numFmtId="0" fontId="39" fillId="10" borderId="0" xfId="0" applyFont="1" applyFill="1"/>
    <xf numFmtId="0" fontId="0" fillId="10" borderId="0" xfId="0" applyFill="1"/>
    <xf numFmtId="164" fontId="19" fillId="0" borderId="3" xfId="0" applyNumberFormat="1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19" fillId="0" borderId="11" xfId="0" applyFont="1" applyBorder="1"/>
    <xf numFmtId="0" fontId="19" fillId="0" borderId="12" xfId="0" applyFont="1" applyBorder="1" applyAlignment="1">
      <alignment horizontal="center"/>
    </xf>
    <xf numFmtId="0" fontId="19" fillId="0" borderId="13" xfId="0" applyFont="1" applyBorder="1"/>
    <xf numFmtId="164" fontId="19" fillId="0" borderId="18" xfId="0" applyNumberFormat="1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3" fillId="4" borderId="0" xfId="0" applyFont="1" applyFill="1"/>
    <xf numFmtId="0" fontId="0" fillId="0" borderId="0" xfId="0" applyAlignment="1">
      <alignment wrapText="1"/>
    </xf>
    <xf numFmtId="0" fontId="16" fillId="0" borderId="0" xfId="0" applyFont="1" applyAlignment="1"/>
    <xf numFmtId="0" fontId="3" fillId="0" borderId="0" xfId="0" applyFont="1" applyFill="1" applyAlignment="1"/>
    <xf numFmtId="0" fontId="39" fillId="0" borderId="19" xfId="0" applyFont="1" applyBorder="1" applyAlignment="1">
      <alignment horizontal="left"/>
    </xf>
    <xf numFmtId="0" fontId="39" fillId="0" borderId="20" xfId="0" applyFont="1" applyBorder="1" applyAlignment="1">
      <alignment horizontal="left"/>
    </xf>
    <xf numFmtId="0" fontId="39" fillId="0" borderId="19" xfId="0" applyFont="1" applyBorder="1" applyAlignment="1">
      <alignment horizontal="left" wrapText="1"/>
    </xf>
    <xf numFmtId="0" fontId="39" fillId="0" borderId="20" xfId="0" applyFont="1" applyBorder="1" applyAlignment="1">
      <alignment horizontal="left" wrapText="1"/>
    </xf>
    <xf numFmtId="0" fontId="39" fillId="0" borderId="19" xfId="0" applyFont="1" applyBorder="1" applyAlignment="1"/>
    <xf numFmtId="0" fontId="19" fillId="0" borderId="20" xfId="0" applyFont="1" applyBorder="1" applyAlignment="1"/>
    <xf numFmtId="0" fontId="39" fillId="0" borderId="21" xfId="0" applyFont="1" applyBorder="1" applyAlignment="1">
      <alignment wrapText="1"/>
    </xf>
    <xf numFmtId="0" fontId="19" fillId="0" borderId="22" xfId="0" applyFont="1" applyBorder="1" applyAlignment="1">
      <alignment wrapText="1"/>
    </xf>
    <xf numFmtId="0" fontId="51" fillId="4" borderId="0" xfId="0" applyFont="1" applyFill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0" fillId="0" borderId="19" xfId="0" applyBorder="1"/>
    <xf numFmtId="0" fontId="0" fillId="0" borderId="0" xfId="0" applyBorder="1"/>
    <xf numFmtId="0" fontId="0" fillId="0" borderId="20" xfId="0" applyBorder="1"/>
    <xf numFmtId="0" fontId="39" fillId="21" borderId="19" xfId="0" applyFont="1" applyFill="1" applyBorder="1" applyAlignment="1"/>
    <xf numFmtId="0" fontId="39" fillId="21" borderId="0" xfId="0" applyFont="1" applyFill="1" applyBorder="1" applyAlignment="1"/>
    <xf numFmtId="0" fontId="0" fillId="21" borderId="0" xfId="0" applyFill="1" applyBorder="1"/>
    <xf numFmtId="0" fontId="0" fillId="21" borderId="20" xfId="0" applyFill="1" applyBorder="1"/>
    <xf numFmtId="0" fontId="39" fillId="0" borderId="19" xfId="0" applyFont="1" applyBorder="1"/>
    <xf numFmtId="0" fontId="39" fillId="0" borderId="0" xfId="0" applyFont="1" applyBorder="1"/>
    <xf numFmtId="0" fontId="39" fillId="0" borderId="20" xfId="0" applyFont="1" applyBorder="1"/>
    <xf numFmtId="0" fontId="39" fillId="0" borderId="21" xfId="0" applyFont="1" applyBorder="1"/>
    <xf numFmtId="0" fontId="39" fillId="0" borderId="24" xfId="0" applyFont="1" applyBorder="1"/>
    <xf numFmtId="0" fontId="39" fillId="0" borderId="22" xfId="0" applyFont="1" applyBorder="1"/>
    <xf numFmtId="0" fontId="18" fillId="16" borderId="0" xfId="0" applyFont="1" applyFill="1"/>
    <xf numFmtId="0" fontId="19" fillId="0" borderId="0" xfId="0" applyFont="1"/>
    <xf numFmtId="0" fontId="3" fillId="4" borderId="9" xfId="0" applyFont="1" applyFill="1" applyBorder="1"/>
    <xf numFmtId="0" fontId="3" fillId="4" borderId="10" xfId="0" applyFont="1" applyFill="1" applyBorder="1"/>
    <xf numFmtId="164" fontId="19" fillId="0" borderId="14" xfId="0" applyNumberFormat="1" applyFont="1" applyBorder="1" applyAlignment="1">
      <alignment horizontal="left"/>
    </xf>
    <xf numFmtId="0" fontId="52" fillId="0" borderId="0" xfId="0" applyFont="1"/>
    <xf numFmtId="0" fontId="53" fillId="0" borderId="0" xfId="0" applyFont="1"/>
    <xf numFmtId="0" fontId="54" fillId="0" borderId="0" xfId="0" applyFont="1"/>
  </cellXfs>
  <cellStyles count="1">
    <cellStyle name="Normal" xfId="0" builtinId="0"/>
  </cellStyles>
  <dxfs count="45">
    <dxf>
      <font>
        <color rgb="FF9C0006"/>
      </font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\£#,##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\£#,##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rgb="FF203764"/>
        </patternFill>
      </fill>
    </dxf>
    <dxf>
      <font>
        <b/>
      </font>
      <numFmt numFmtId="165" formatCode="\£#,##0"/>
      <alignment horizontal="left" vertical="bottom" textRotation="0" wrapText="0" indent="0" justifyLastLine="0" shrinkToFit="0" readingOrder="0"/>
    </dxf>
    <dxf>
      <font>
        <b/>
      </font>
      <numFmt numFmtId="164" formatCode="dd/mm/yyyy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Helvetica Neue"/>
        <family val="2"/>
        <scheme val="none"/>
      </font>
      <fill>
        <patternFill patternType="solid">
          <fgColor indexed="64"/>
          <bgColor rgb="FF203764"/>
        </patternFill>
      </fill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6A8B8"/>
      <color rgb="FFAF2643"/>
      <color rgb="FFFF3660"/>
      <color rgb="FFFF0000"/>
      <color rgb="FFB04E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Alert Disposition Breakdown</a:t>
            </a:r>
            <a:endParaRPr lang="en-GB"/>
          </a:p>
        </c:rich>
      </c:tx>
      <c:layout>
        <c:manualLayout>
          <c:xMode val="edge"/>
          <c:yMode val="edge"/>
          <c:x val="0.2128697850821744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7E7-B24B-9A1A-8C934333379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7E7-B24B-9A1A-8C934333379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7E7-B24B-9A1A-8C934333379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7E7-B24B-9A1A-8C9343333795}"/>
              </c:ext>
            </c:extLst>
          </c:dPt>
          <c:dLbls>
            <c:dLbl>
              <c:idx val="0"/>
              <c:layout>
                <c:manualLayout>
                  <c:x val="7.7777777777777779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E7-B24B-9A1A-8C9343333795}"/>
                </c:ext>
              </c:extLst>
            </c:dLbl>
            <c:dLbl>
              <c:idx val="1"/>
              <c:layout>
                <c:manualLayout>
                  <c:x val="-8.8888888888888934E-2"/>
                  <c:y val="6.4814814814814728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7E7-B24B-9A1A-8C9343333795}"/>
                </c:ext>
              </c:extLst>
            </c:dLbl>
            <c:dLbl>
              <c:idx val="2"/>
              <c:layout>
                <c:manualLayout>
                  <c:x val="-7.7777777777777779E-2"/>
                  <c:y val="1.3888888888888888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E7-B24B-9A1A-8C9343333795}"/>
                </c:ext>
              </c:extLst>
            </c:dLbl>
            <c:dLbl>
              <c:idx val="3"/>
              <c:layout>
                <c:manualLayout>
                  <c:x val="-5.5555555555555608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7E7-B24B-9A1A-8C93433337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. 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ALERT_INVESTIGATION_LOG!$A$30:$A$33</c:f>
              <c:strCache>
                <c:ptCount val="4"/>
                <c:pt idx="0">
                  <c:v>TRUE POSITIVE</c:v>
                </c:pt>
                <c:pt idx="1">
                  <c:v>FALSE POSITIVE</c:v>
                </c:pt>
                <c:pt idx="2">
                  <c:v>PENDING</c:v>
                </c:pt>
                <c:pt idx="3">
                  <c:v>WHITELISTED</c:v>
                </c:pt>
              </c:strCache>
            </c:strRef>
          </c:cat>
          <c:val>
            <c:numRef>
              <c:f>ALERT_INVESTIGATION_LOG!$B$30:$B$33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7-B24B-9A1A-8C9343333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958850</xdr:colOff>
      <xdr:row>27</xdr:row>
      <xdr:rowOff>76200</xdr:rowOff>
    </xdr:from>
    <xdr:to>
      <xdr:col>6</xdr:col>
      <xdr:colOff>889000</xdr:colOff>
      <xdr:row>42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C75C7A-21F3-47B0-9BEA-E340D8C0E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8AB98F-A4C9-CA45-AE00-475419517C33}" name="Table1" displayName="Table1" ref="A1:J31" totalsRowShown="0" headerRowDxfId="21" dataDxfId="30">
  <tableColumns count="10">
    <tableColumn id="1" xr3:uid="{4C513E4D-B4B3-C444-AA14-E8D77151919E}" name="Customer_ID" dataDxfId="29"/>
    <tableColumn id="2" xr3:uid="{1D7E3519-7892-C541-B542-223395099936}" name="Customer_Type" dataDxfId="28"/>
    <tableColumn id="3" xr3:uid="{E481F600-A4C3-3A40-BB7F-0BE8D34C954D}" name="Nationality" dataDxfId="27"/>
    <tableColumn id="4" xr3:uid="{9B2D2BA9-D54C-4C4D-9E83-E0FD80489BCE}" name="Country_of_Residence" dataDxfId="26"/>
    <tableColumn id="5" xr3:uid="{6ED54A32-DAB9-5446-B2D2-F9F3BA572E31}" name="Occupation" dataDxfId="25"/>
    <tableColumn id="6" xr3:uid="{87E194F2-A349-E047-B0DB-5C9C9AF0F79B}" name="Risk_Rating" dataDxfId="24"/>
    <tableColumn id="7" xr3:uid="{4B4DD6FB-1871-1049-BA74-3F2263B2C2D7}" name="KYC_Tier" dataDxfId="23"/>
    <tableColumn id="8" xr3:uid="{3B8E170A-BA82-8B4E-AE41-4CE64D59DA1D}" name="Monthly_Expected_Turnover_GBP" dataDxfId="19"/>
    <tableColumn id="9" xr3:uid="{D9FA7D31-35CB-AF45-BE9B-80C1E033DA7D}" name="Account_Status" dataDxfId="22"/>
    <tableColumn id="10" xr3:uid="{F13CB9F3-2F78-A047-AA3C-FA58269C8120}" name="Account_Open_Dat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612905-85DF-5E46-9D6C-ED03AD21884D}" name="Table2" displayName="Table2" ref="A1:N201" totalsRowShown="0" headerRowDxfId="18" dataDxfId="44" tableBorderDxfId="43">
  <sortState xmlns:xlrd2="http://schemas.microsoft.com/office/spreadsheetml/2017/richdata2" ref="A2:N201">
    <sortCondition ref="B2:B201"/>
    <sortCondition ref="A2:A201"/>
  </sortState>
  <tableColumns count="14">
    <tableColumn id="1" xr3:uid="{52563693-8EC0-BA43-BAA9-F381F43E6552}" name="Transaction_ID" dataDxfId="42"/>
    <tableColumn id="2" xr3:uid="{E59648D3-09EC-184D-ACAE-86F23921A04E}" name="Date" dataDxfId="41"/>
    <tableColumn id="3" xr3:uid="{EF607FF2-A488-564B-AC10-9527E021F1B5}" name="Customer_ID" dataDxfId="40"/>
    <tableColumn id="4" xr3:uid="{DECEBCBA-6EA1-2E41-AEC6-9968BABF85D1}" name="Transaction_Type" dataDxfId="39"/>
    <tableColumn id="5" xr3:uid="{EE087B99-F2A1-A84E-BCB3-DB7E50ACBB40}" name="Amount_GBP" dataDxfId="17"/>
    <tableColumn id="6" xr3:uid="{DAC9E094-3EE1-034A-B97C-CC245DD302F2}" name="Currency" dataDxfId="38"/>
    <tableColumn id="7" xr3:uid="{7ED892AD-FA54-584E-B28D-6D610B21781B}" name="Counterparty_Name" dataDxfId="37"/>
    <tableColumn id="8" xr3:uid="{D0900848-828E-C944-A54A-CBDB8237A420}" name="Counterparty_Country" dataDxfId="36"/>
    <tableColumn id="9" xr3:uid="{4C846173-A5AC-E34D-B4A3-2B50F200F2DF}" name="Counterparty_Bank" dataDxfId="35"/>
    <tableColumn id="10" xr3:uid="{E1E1B59E-8F8B-EA4F-98B1-9093C86B1B85}" name="Direction" dataDxfId="34"/>
    <tableColumn id="11" xr3:uid="{3036F496-268C-9C45-B6EC-0BFE2BCA0EC4}" name="Running_Balance" dataDxfId="16"/>
    <tableColumn id="12" xr3:uid="{AEDE4D04-13CB-5E47-8FBA-0D8F073C52D0}" name="Flagged" dataDxfId="33"/>
    <tableColumn id="13" xr3:uid="{3AB5A9C6-7C0C-9546-9B87-F9A3F84629C2}" name="Flag_Reason" dataDxfId="32"/>
    <tableColumn id="14" xr3:uid="{0D1C7667-B217-A44E-A6CB-8FF875CC04D0}" name="Alert_ID" dataDxfId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25CFFE-7AD0-5146-B936-D044283B5938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e680dfa-f7d8-4401-928c-c2471b08c024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E585-4C4E-B942-ACED-24472555FC2C}">
  <dimension ref="A1:C15"/>
  <sheetViews>
    <sheetView showGridLines="0" workbookViewId="0">
      <pane ySplit="1" topLeftCell="A2" activePane="bottomLeft" state="frozen"/>
      <selection pane="bottomLeft" activeCell="B23" sqref="B23"/>
    </sheetView>
  </sheetViews>
  <sheetFormatPr baseColWidth="10" defaultRowHeight="16"/>
  <cols>
    <col min="1" max="1" width="21.6640625" bestFit="1" customWidth="1"/>
    <col min="2" max="2" width="56.6640625" customWidth="1"/>
    <col min="3" max="3" width="26.1640625" bestFit="1" customWidth="1"/>
  </cols>
  <sheetData>
    <row r="1" spans="1:3" ht="17">
      <c r="A1" s="146" t="s">
        <v>421</v>
      </c>
      <c r="B1" s="146" t="s">
        <v>422</v>
      </c>
      <c r="C1" s="146" t="s">
        <v>423</v>
      </c>
    </row>
    <row r="2" spans="1:3" ht="17">
      <c r="A2" s="147" t="s">
        <v>92</v>
      </c>
      <c r="B2" s="148" t="s">
        <v>729</v>
      </c>
      <c r="C2" s="147" t="s">
        <v>424</v>
      </c>
    </row>
    <row r="3" spans="1:3" ht="17">
      <c r="A3" s="149" t="s">
        <v>93</v>
      </c>
      <c r="B3" s="150" t="s">
        <v>425</v>
      </c>
      <c r="C3" s="149" t="s">
        <v>426</v>
      </c>
    </row>
    <row r="4" spans="1:3" ht="34">
      <c r="A4" s="147" t="s">
        <v>0</v>
      </c>
      <c r="B4" s="148" t="s">
        <v>427</v>
      </c>
      <c r="C4" s="147" t="s">
        <v>428</v>
      </c>
    </row>
    <row r="5" spans="1:3" ht="34">
      <c r="A5" s="149" t="s">
        <v>94</v>
      </c>
      <c r="B5" s="150" t="s">
        <v>429</v>
      </c>
      <c r="C5" s="149" t="s">
        <v>430</v>
      </c>
    </row>
    <row r="6" spans="1:3" ht="17">
      <c r="A6" s="147" t="s">
        <v>95</v>
      </c>
      <c r="B6" s="148" t="s">
        <v>431</v>
      </c>
      <c r="C6" s="147" t="s">
        <v>432</v>
      </c>
    </row>
    <row r="7" spans="1:3" ht="34">
      <c r="A7" s="149" t="s">
        <v>96</v>
      </c>
      <c r="B7" s="150" t="s">
        <v>433</v>
      </c>
      <c r="C7" s="149" t="s">
        <v>434</v>
      </c>
    </row>
    <row r="8" spans="1:3" ht="17">
      <c r="A8" s="147" t="s">
        <v>97</v>
      </c>
      <c r="B8" s="148" t="s">
        <v>435</v>
      </c>
      <c r="C8" s="147" t="s">
        <v>436</v>
      </c>
    </row>
    <row r="9" spans="1:3" ht="17">
      <c r="A9" s="149" t="s">
        <v>98</v>
      </c>
      <c r="B9" s="150" t="s">
        <v>437</v>
      </c>
      <c r="C9" s="149" t="s">
        <v>438</v>
      </c>
    </row>
    <row r="10" spans="1:3" ht="17">
      <c r="A10" s="147" t="s">
        <v>99</v>
      </c>
      <c r="B10" s="148" t="s">
        <v>439</v>
      </c>
      <c r="C10" s="147" t="s">
        <v>440</v>
      </c>
    </row>
    <row r="11" spans="1:3" ht="17">
      <c r="A11" s="149" t="s">
        <v>100</v>
      </c>
      <c r="B11" s="150" t="s">
        <v>441</v>
      </c>
      <c r="C11" s="149" t="s">
        <v>442</v>
      </c>
    </row>
    <row r="12" spans="1:3" ht="17">
      <c r="A12" s="147" t="s">
        <v>101</v>
      </c>
      <c r="B12" s="148" t="s">
        <v>443</v>
      </c>
      <c r="C12" s="147" t="s">
        <v>444</v>
      </c>
    </row>
    <row r="13" spans="1:3" ht="17">
      <c r="A13" s="149" t="s">
        <v>102</v>
      </c>
      <c r="B13" s="150" t="s">
        <v>445</v>
      </c>
      <c r="C13" s="149" t="s">
        <v>446</v>
      </c>
    </row>
    <row r="14" spans="1:3" ht="17">
      <c r="A14" s="147" t="s">
        <v>103</v>
      </c>
      <c r="B14" s="148" t="s">
        <v>447</v>
      </c>
      <c r="C14" s="147" t="s">
        <v>448</v>
      </c>
    </row>
    <row r="15" spans="1:3" ht="34">
      <c r="A15" s="149" t="s">
        <v>104</v>
      </c>
      <c r="B15" s="150" t="s">
        <v>449</v>
      </c>
      <c r="C15" s="149" t="s">
        <v>730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730C-4C42-A647-B17C-E3D5D02B2A30}">
  <dimension ref="A1:J31"/>
  <sheetViews>
    <sheetView showGridLines="0" workbookViewId="0">
      <pane ySplit="1" topLeftCell="A2" activePane="bottomLeft" state="frozen"/>
      <selection pane="bottomLeft" activeCell="G2" sqref="G2"/>
    </sheetView>
  </sheetViews>
  <sheetFormatPr baseColWidth="10" defaultRowHeight="16"/>
  <cols>
    <col min="1" max="1" width="17.6640625" customWidth="1"/>
    <col min="2" max="2" width="20" customWidth="1"/>
    <col min="3" max="3" width="17.6640625" customWidth="1"/>
    <col min="4" max="4" width="26.83203125" customWidth="1"/>
    <col min="5" max="5" width="22.83203125" customWidth="1"/>
    <col min="6" max="6" width="16.6640625" customWidth="1"/>
    <col min="7" max="7" width="13.1640625" customWidth="1"/>
    <col min="8" max="8" width="39" customWidth="1"/>
    <col min="9" max="9" width="20" customWidth="1"/>
    <col min="10" max="10" width="24.83203125" customWidth="1"/>
  </cols>
  <sheetData>
    <row r="1" spans="1:10" ht="18" customHeight="1">
      <c r="A1" s="127" t="s">
        <v>0</v>
      </c>
      <c r="B1" s="127" t="s">
        <v>32</v>
      </c>
      <c r="C1" s="127" t="s">
        <v>33</v>
      </c>
      <c r="D1" s="127" t="s">
        <v>1</v>
      </c>
      <c r="E1" s="127" t="s">
        <v>34</v>
      </c>
      <c r="F1" s="127" t="s">
        <v>35</v>
      </c>
      <c r="G1" s="127" t="s">
        <v>2</v>
      </c>
      <c r="H1" s="127" t="s">
        <v>3</v>
      </c>
      <c r="I1" s="127" t="s">
        <v>4</v>
      </c>
      <c r="J1" s="127" t="s">
        <v>5</v>
      </c>
    </row>
    <row r="2" spans="1:10">
      <c r="A2" s="12" t="s">
        <v>6</v>
      </c>
      <c r="B2" s="12" t="s">
        <v>7</v>
      </c>
      <c r="C2" s="12" t="s">
        <v>8</v>
      </c>
      <c r="D2" s="12" t="s">
        <v>9</v>
      </c>
      <c r="E2" s="12" t="s">
        <v>10</v>
      </c>
      <c r="F2" s="130" t="s">
        <v>11</v>
      </c>
      <c r="G2" s="130" t="str">
        <f>INDEX(KYC_CDD_FRAMEWORK!$K$30:$K$59,MATCH(A2,KYC_CDD_FRAMEWORK!$A$30:$A$59,0))</f>
        <v>SDD</v>
      </c>
      <c r="H2" s="129">
        <v>3500</v>
      </c>
      <c r="I2" s="12" t="s">
        <v>13</v>
      </c>
      <c r="J2" s="128">
        <v>43466</v>
      </c>
    </row>
    <row r="3" spans="1:10">
      <c r="A3" s="12" t="s">
        <v>14</v>
      </c>
      <c r="B3" s="12" t="s">
        <v>7</v>
      </c>
      <c r="C3" s="12" t="s">
        <v>8</v>
      </c>
      <c r="D3" s="12" t="s">
        <v>9</v>
      </c>
      <c r="E3" s="12" t="s">
        <v>15</v>
      </c>
      <c r="F3" s="130" t="s">
        <v>11</v>
      </c>
      <c r="G3" s="130" t="str">
        <f>INDEX(KYC_CDD_FRAMEWORK!$K$30:$K$59,MATCH(A3,KYC_CDD_FRAMEWORK!$A$30:$A$59,0))</f>
        <v>SDD</v>
      </c>
      <c r="H3" s="129">
        <v>3200</v>
      </c>
      <c r="I3" s="12" t="s">
        <v>13</v>
      </c>
      <c r="J3" s="128">
        <v>43174</v>
      </c>
    </row>
    <row r="4" spans="1:10">
      <c r="A4" s="12" t="s">
        <v>16</v>
      </c>
      <c r="B4" s="12" t="s">
        <v>7</v>
      </c>
      <c r="C4" s="12" t="s">
        <v>8</v>
      </c>
      <c r="D4" s="12" t="s">
        <v>9</v>
      </c>
      <c r="E4" s="12" t="s">
        <v>17</v>
      </c>
      <c r="F4" s="130" t="s">
        <v>11</v>
      </c>
      <c r="G4" s="130" t="str">
        <f>INDEX(KYC_CDD_FRAMEWORK!$K$30:$K$59,MATCH(A4,KYC_CDD_FRAMEWORK!$A$30:$A$59,0))</f>
        <v>SDD</v>
      </c>
      <c r="H4" s="129">
        <v>5500</v>
      </c>
      <c r="I4" s="12" t="s">
        <v>13</v>
      </c>
      <c r="J4" s="128">
        <v>42906</v>
      </c>
    </row>
    <row r="5" spans="1:10">
      <c r="A5" s="12" t="s">
        <v>18</v>
      </c>
      <c r="B5" s="12" t="s">
        <v>7</v>
      </c>
      <c r="C5" s="12" t="s">
        <v>8</v>
      </c>
      <c r="D5" s="12" t="s">
        <v>9</v>
      </c>
      <c r="E5" s="12" t="s">
        <v>19</v>
      </c>
      <c r="F5" s="130" t="s">
        <v>11</v>
      </c>
      <c r="G5" s="130" t="str">
        <f>INDEX(KYC_CDD_FRAMEWORK!$K$30:$K$59,MATCH(A5,KYC_CDD_FRAMEWORK!$A$30:$A$59,0))</f>
        <v>SDD</v>
      </c>
      <c r="H5" s="129">
        <v>6000</v>
      </c>
      <c r="I5" s="12" t="s">
        <v>13</v>
      </c>
      <c r="J5" s="128">
        <v>43840</v>
      </c>
    </row>
    <row r="6" spans="1:10">
      <c r="A6" s="12" t="s">
        <v>20</v>
      </c>
      <c r="B6" s="12" t="s">
        <v>7</v>
      </c>
      <c r="C6" s="12" t="s">
        <v>8</v>
      </c>
      <c r="D6" s="12" t="s">
        <v>9</v>
      </c>
      <c r="E6" s="12" t="s">
        <v>21</v>
      </c>
      <c r="F6" s="130" t="s">
        <v>11</v>
      </c>
      <c r="G6" s="130" t="str">
        <f>INDEX(KYC_CDD_FRAMEWORK!$K$30:$K$59,MATCH(A6,KYC_CDD_FRAMEWORK!$A$30:$A$59,0))</f>
        <v>SDD</v>
      </c>
      <c r="H6" s="129">
        <v>3800</v>
      </c>
      <c r="I6" s="12" t="s">
        <v>13</v>
      </c>
      <c r="J6" s="128">
        <v>43651</v>
      </c>
    </row>
    <row r="7" spans="1:10">
      <c r="A7" s="12" t="s">
        <v>22</v>
      </c>
      <c r="B7" s="12" t="s">
        <v>7</v>
      </c>
      <c r="C7" s="12" t="s">
        <v>8</v>
      </c>
      <c r="D7" s="12" t="s">
        <v>9</v>
      </c>
      <c r="E7" s="12" t="s">
        <v>23</v>
      </c>
      <c r="F7" s="130" t="s">
        <v>11</v>
      </c>
      <c r="G7" s="130" t="str">
        <f>INDEX(KYC_CDD_FRAMEWORK!$K$30:$K$59,MATCH(A7,KYC_CDD_FRAMEWORK!$A$30:$A$59,0))</f>
        <v>SDD</v>
      </c>
      <c r="H7" s="129">
        <v>3000</v>
      </c>
      <c r="I7" s="12" t="s">
        <v>13</v>
      </c>
      <c r="J7" s="128">
        <v>43365</v>
      </c>
    </row>
    <row r="8" spans="1:10">
      <c r="A8" s="12" t="s">
        <v>24</v>
      </c>
      <c r="B8" s="12" t="s">
        <v>7</v>
      </c>
      <c r="C8" s="12" t="s">
        <v>8</v>
      </c>
      <c r="D8" s="12" t="s">
        <v>9</v>
      </c>
      <c r="E8" s="12" t="s">
        <v>25</v>
      </c>
      <c r="F8" s="130" t="s">
        <v>11</v>
      </c>
      <c r="G8" s="131" t="str">
        <f>INDEX(KYC_CDD_FRAMEWORK!$K$30:$K$59,MATCH(A8,KYC_CDD_FRAMEWORK!$A$30:$A$59,0))</f>
        <v>CDD</v>
      </c>
      <c r="H8" s="129">
        <v>4500</v>
      </c>
      <c r="I8" s="12" t="s">
        <v>13</v>
      </c>
      <c r="J8" s="128">
        <v>43875</v>
      </c>
    </row>
    <row r="9" spans="1:10">
      <c r="A9" s="12" t="s">
        <v>26</v>
      </c>
      <c r="B9" s="12" t="s">
        <v>7</v>
      </c>
      <c r="C9" s="12" t="s">
        <v>8</v>
      </c>
      <c r="D9" s="12" t="s">
        <v>9</v>
      </c>
      <c r="E9" s="12" t="s">
        <v>27</v>
      </c>
      <c r="F9" s="130" t="s">
        <v>11</v>
      </c>
      <c r="G9" s="130" t="str">
        <f>INDEX(KYC_CDD_FRAMEWORK!$K$30:$K$59,MATCH(A9,KYC_CDD_FRAMEWORK!$A$30:$A$59,0))</f>
        <v>SDD</v>
      </c>
      <c r="H9" s="129">
        <v>3300</v>
      </c>
      <c r="I9" s="12" t="s">
        <v>13</v>
      </c>
      <c r="J9" s="128">
        <v>43069</v>
      </c>
    </row>
    <row r="10" spans="1:10">
      <c r="A10" s="12" t="s">
        <v>28</v>
      </c>
      <c r="B10" s="12" t="s">
        <v>7</v>
      </c>
      <c r="C10" s="12" t="s">
        <v>8</v>
      </c>
      <c r="D10" s="12" t="s">
        <v>9</v>
      </c>
      <c r="E10" s="12" t="s">
        <v>29</v>
      </c>
      <c r="F10" s="130" t="s">
        <v>11</v>
      </c>
      <c r="G10" s="130" t="str">
        <f>INDEX(KYC_CDD_FRAMEWORK!$K$30:$K$59,MATCH(A10,KYC_CDD_FRAMEWORK!$A$30:$A$59,0))</f>
        <v>SDD</v>
      </c>
      <c r="H10" s="129">
        <v>5000</v>
      </c>
      <c r="I10" s="12" t="s">
        <v>13</v>
      </c>
      <c r="J10" s="128">
        <v>43563</v>
      </c>
    </row>
    <row r="11" spans="1:10">
      <c r="A11" s="12" t="s">
        <v>30</v>
      </c>
      <c r="B11" s="12" t="s">
        <v>7</v>
      </c>
      <c r="C11" s="12" t="s">
        <v>8</v>
      </c>
      <c r="D11" s="12" t="s">
        <v>9</v>
      </c>
      <c r="E11" s="12" t="s">
        <v>31</v>
      </c>
      <c r="F11" s="130" t="s">
        <v>11</v>
      </c>
      <c r="G11" s="130" t="str">
        <f>INDEX(KYC_CDD_FRAMEWORK!$K$30:$K$59,MATCH(A11,KYC_CDD_FRAMEWORK!$A$30:$A$59,0))</f>
        <v>SDD</v>
      </c>
      <c r="H11" s="129">
        <v>4000</v>
      </c>
      <c r="I11" s="12" t="s">
        <v>13</v>
      </c>
      <c r="J11" s="128">
        <v>43329</v>
      </c>
    </row>
    <row r="12" spans="1:10">
      <c r="A12" s="12" t="s">
        <v>36</v>
      </c>
      <c r="B12" s="12" t="s">
        <v>7</v>
      </c>
      <c r="C12" s="12" t="s">
        <v>37</v>
      </c>
      <c r="D12" s="12" t="s">
        <v>9</v>
      </c>
      <c r="E12" s="12" t="s">
        <v>38</v>
      </c>
      <c r="F12" s="132" t="s">
        <v>39</v>
      </c>
      <c r="G12" s="131" t="str">
        <f>INDEX(KYC_CDD_FRAMEWORK!$K$30:$K$59,MATCH(A12,KYC_CDD_FRAMEWORK!$A$30:$A$59,0))</f>
        <v>CDD</v>
      </c>
      <c r="H12" s="129">
        <v>7000</v>
      </c>
      <c r="I12" s="12" t="s">
        <v>13</v>
      </c>
      <c r="J12" s="128">
        <v>43891</v>
      </c>
    </row>
    <row r="13" spans="1:10">
      <c r="A13" s="12" t="s">
        <v>40</v>
      </c>
      <c r="B13" s="12" t="s">
        <v>7</v>
      </c>
      <c r="C13" s="12" t="s">
        <v>41</v>
      </c>
      <c r="D13" s="12" t="s">
        <v>9</v>
      </c>
      <c r="E13" s="12" t="s">
        <v>42</v>
      </c>
      <c r="F13" s="132" t="s">
        <v>39</v>
      </c>
      <c r="G13" s="133" t="str">
        <f>INDEX(KYC_CDD_FRAMEWORK!$K$30:$K$59,MATCH(A13,KYC_CDD_FRAMEWORK!$A$30:$A$59,0))</f>
        <v>EDD</v>
      </c>
      <c r="H13" s="129">
        <v>12000</v>
      </c>
      <c r="I13" s="12" t="s">
        <v>13</v>
      </c>
      <c r="J13" s="128">
        <v>43631</v>
      </c>
    </row>
    <row r="14" spans="1:10">
      <c r="A14" s="12" t="s">
        <v>43</v>
      </c>
      <c r="B14" s="12" t="s">
        <v>7</v>
      </c>
      <c r="C14" s="12" t="s">
        <v>44</v>
      </c>
      <c r="D14" s="12" t="s">
        <v>9</v>
      </c>
      <c r="E14" s="12" t="s">
        <v>45</v>
      </c>
      <c r="F14" s="132" t="s">
        <v>39</v>
      </c>
      <c r="G14" s="131" t="str">
        <f>INDEX(KYC_CDD_FRAMEWORK!$K$30:$K$59,MATCH(A14,KYC_CDD_FRAMEWORK!$A$30:$A$59,0))</f>
        <v>CDD</v>
      </c>
      <c r="H14" s="129">
        <v>15000</v>
      </c>
      <c r="I14" s="12" t="s">
        <v>13</v>
      </c>
      <c r="J14" s="128">
        <v>43120</v>
      </c>
    </row>
    <row r="15" spans="1:10">
      <c r="A15" s="12" t="s">
        <v>46</v>
      </c>
      <c r="B15" s="12" t="s">
        <v>7</v>
      </c>
      <c r="C15" s="12" t="s">
        <v>47</v>
      </c>
      <c r="D15" s="12" t="s">
        <v>9</v>
      </c>
      <c r="E15" s="12" t="s">
        <v>48</v>
      </c>
      <c r="F15" s="132" t="s">
        <v>39</v>
      </c>
      <c r="G15" s="131" t="str">
        <f>INDEX(KYC_CDD_FRAMEWORK!$K$30:$K$59,MATCH(A15,KYC_CDD_FRAMEWORK!$A$30:$A$59,0))</f>
        <v>CDD</v>
      </c>
      <c r="H15" s="129">
        <v>25000</v>
      </c>
      <c r="I15" s="12" t="s">
        <v>13</v>
      </c>
      <c r="J15" s="128">
        <v>43718</v>
      </c>
    </row>
    <row r="16" spans="1:10">
      <c r="A16" s="12" t="s">
        <v>49</v>
      </c>
      <c r="B16" s="12" t="s">
        <v>7</v>
      </c>
      <c r="C16" s="12" t="s">
        <v>8</v>
      </c>
      <c r="D16" s="12" t="s">
        <v>9</v>
      </c>
      <c r="E16" s="12" t="s">
        <v>50</v>
      </c>
      <c r="F16" s="132" t="s">
        <v>39</v>
      </c>
      <c r="G16" s="131" t="str">
        <f>INDEX(KYC_CDD_FRAMEWORK!$K$30:$K$59,MATCH(A16,KYC_CDD_FRAMEWORK!$A$30:$A$59,0))</f>
        <v>CDD</v>
      </c>
      <c r="H16" s="129">
        <v>8000</v>
      </c>
      <c r="I16" s="12" t="s">
        <v>13</v>
      </c>
      <c r="J16" s="128">
        <v>42830</v>
      </c>
    </row>
    <row r="17" spans="1:10">
      <c r="A17" s="12" t="s">
        <v>51</v>
      </c>
      <c r="B17" s="12" t="s">
        <v>7</v>
      </c>
      <c r="C17" s="12" t="s">
        <v>52</v>
      </c>
      <c r="D17" s="12" t="s">
        <v>9</v>
      </c>
      <c r="E17" s="12" t="s">
        <v>53</v>
      </c>
      <c r="F17" s="132" t="s">
        <v>39</v>
      </c>
      <c r="G17" s="131" t="str">
        <f>INDEX(KYC_CDD_FRAMEWORK!$K$30:$K$59,MATCH(A17,KYC_CDD_FRAMEWORK!$A$30:$A$59,0))</f>
        <v>CDD</v>
      </c>
      <c r="H17" s="129">
        <v>4500</v>
      </c>
      <c r="I17" s="12" t="s">
        <v>13</v>
      </c>
      <c r="J17" s="128">
        <v>44157</v>
      </c>
    </row>
    <row r="18" spans="1:10">
      <c r="A18" s="12" t="s">
        <v>54</v>
      </c>
      <c r="B18" s="12" t="s">
        <v>7</v>
      </c>
      <c r="C18" s="12" t="s">
        <v>55</v>
      </c>
      <c r="D18" s="12" t="s">
        <v>9</v>
      </c>
      <c r="E18" s="12" t="s">
        <v>56</v>
      </c>
      <c r="F18" s="132" t="s">
        <v>39</v>
      </c>
      <c r="G18" s="133" t="str">
        <f>INDEX(KYC_CDD_FRAMEWORK!$K$30:$K$59,MATCH(A18,KYC_CDD_FRAMEWORK!$A$30:$A$59,0))</f>
        <v>EDD</v>
      </c>
      <c r="H18" s="129">
        <v>20000</v>
      </c>
      <c r="I18" s="12" t="s">
        <v>13</v>
      </c>
      <c r="J18" s="128">
        <v>43295</v>
      </c>
    </row>
    <row r="19" spans="1:10">
      <c r="A19" s="12" t="s">
        <v>58</v>
      </c>
      <c r="B19" s="12" t="s">
        <v>7</v>
      </c>
      <c r="C19" s="12" t="s">
        <v>8</v>
      </c>
      <c r="D19" s="12" t="s">
        <v>9</v>
      </c>
      <c r="E19" s="12" t="s">
        <v>50</v>
      </c>
      <c r="F19" s="132" t="s">
        <v>39</v>
      </c>
      <c r="G19" s="131" t="str">
        <f>INDEX(KYC_CDD_FRAMEWORK!$K$30:$K$59,MATCH(A19,KYC_CDD_FRAMEWORK!$A$30:$A$59,0))</f>
        <v>CDD</v>
      </c>
      <c r="H19" s="129">
        <v>8000</v>
      </c>
      <c r="I19" s="12" t="s">
        <v>13</v>
      </c>
      <c r="J19" s="128">
        <v>43554</v>
      </c>
    </row>
    <row r="20" spans="1:10">
      <c r="A20" s="12" t="s">
        <v>59</v>
      </c>
      <c r="B20" s="12" t="s">
        <v>7</v>
      </c>
      <c r="C20" s="12" t="s">
        <v>60</v>
      </c>
      <c r="D20" s="12" t="s">
        <v>9</v>
      </c>
      <c r="E20" s="12" t="s">
        <v>61</v>
      </c>
      <c r="F20" s="134" t="s">
        <v>62</v>
      </c>
      <c r="G20" s="133" t="str">
        <f>INDEX(KYC_CDD_FRAMEWORK!$K$30:$K$59,MATCH(A20,KYC_CDD_FRAMEWORK!$A$30:$A$59,0))</f>
        <v>EDD</v>
      </c>
      <c r="H20" s="129">
        <v>50000</v>
      </c>
      <c r="I20" s="12" t="s">
        <v>13</v>
      </c>
      <c r="J20" s="128">
        <v>43252</v>
      </c>
    </row>
    <row r="21" spans="1:10">
      <c r="A21" s="12" t="s">
        <v>63</v>
      </c>
      <c r="B21" s="12" t="s">
        <v>64</v>
      </c>
      <c r="C21" s="12" t="s">
        <v>41</v>
      </c>
      <c r="D21" s="12" t="s">
        <v>9</v>
      </c>
      <c r="E21" s="12" t="s">
        <v>65</v>
      </c>
      <c r="F21" s="134" t="s">
        <v>62</v>
      </c>
      <c r="G21" s="135" t="str">
        <f>INDEX(KYC_CDD_FRAMEWORK!$K$30:$K$59,MATCH(A21,KYC_CDD_FRAMEWORK!$A$30:$A$59,0))</f>
        <v>EDD Urgent</v>
      </c>
      <c r="H21" s="129">
        <v>30000</v>
      </c>
      <c r="I21" s="12" t="s">
        <v>13</v>
      </c>
      <c r="J21" s="128">
        <v>43480</v>
      </c>
    </row>
    <row r="22" spans="1:10">
      <c r="A22" s="12" t="s">
        <v>66</v>
      </c>
      <c r="B22" s="12" t="s">
        <v>64</v>
      </c>
      <c r="C22" s="12" t="s">
        <v>8</v>
      </c>
      <c r="D22" s="12" t="s">
        <v>9</v>
      </c>
      <c r="E22" s="12" t="s">
        <v>67</v>
      </c>
      <c r="F22" s="134" t="s">
        <v>62</v>
      </c>
      <c r="G22" s="133" t="str">
        <f>INDEX(KYC_CDD_FRAMEWORK!$K$30:$K$59,MATCH(A22,KYC_CDD_FRAMEWORK!$A$30:$A$59,0))</f>
        <v>EDD</v>
      </c>
      <c r="H22" s="129">
        <v>15000</v>
      </c>
      <c r="I22" s="12" t="s">
        <v>13</v>
      </c>
      <c r="J22" s="128">
        <v>42967</v>
      </c>
    </row>
    <row r="23" spans="1:10">
      <c r="A23" s="12" t="s">
        <v>68</v>
      </c>
      <c r="B23" s="12" t="s">
        <v>7</v>
      </c>
      <c r="C23" s="12" t="s">
        <v>69</v>
      </c>
      <c r="D23" s="12" t="s">
        <v>9</v>
      </c>
      <c r="E23" s="12" t="s">
        <v>42</v>
      </c>
      <c r="F23" s="134" t="s">
        <v>62</v>
      </c>
      <c r="G23" s="133" t="str">
        <f>INDEX(KYC_CDD_FRAMEWORK!$K$30:$K$59,MATCH(A23,KYC_CDD_FRAMEWORK!$A$30:$A$59,0))</f>
        <v>EDD</v>
      </c>
      <c r="H23" s="129">
        <v>40000</v>
      </c>
      <c r="I23" s="12" t="s">
        <v>13</v>
      </c>
      <c r="J23" s="128">
        <v>43900</v>
      </c>
    </row>
    <row r="24" spans="1:10">
      <c r="A24" s="12" t="s">
        <v>70</v>
      </c>
      <c r="B24" s="12" t="s">
        <v>7</v>
      </c>
      <c r="C24" s="12" t="s">
        <v>8</v>
      </c>
      <c r="D24" s="12" t="s">
        <v>9</v>
      </c>
      <c r="E24" s="12" t="s">
        <v>71</v>
      </c>
      <c r="F24" s="134" t="s">
        <v>62</v>
      </c>
      <c r="G24" s="133" t="str">
        <f>INDEX(KYC_CDD_FRAMEWORK!$K$30:$K$59,MATCH(A24,KYC_CDD_FRAMEWORK!$A$30:$A$59,0))</f>
        <v>EDD</v>
      </c>
      <c r="H24" s="129">
        <v>35000</v>
      </c>
      <c r="I24" s="12" t="s">
        <v>13</v>
      </c>
      <c r="J24" s="128">
        <v>43348</v>
      </c>
    </row>
    <row r="25" spans="1:10">
      <c r="A25" s="12" t="s">
        <v>72</v>
      </c>
      <c r="B25" s="12" t="s">
        <v>7</v>
      </c>
      <c r="C25" s="12" t="s">
        <v>73</v>
      </c>
      <c r="D25" s="12" t="s">
        <v>9</v>
      </c>
      <c r="E25" s="12" t="s">
        <v>74</v>
      </c>
      <c r="F25" s="134" t="s">
        <v>62</v>
      </c>
      <c r="G25" s="133" t="str">
        <f>INDEX(KYC_CDD_FRAMEWORK!$K$30:$K$59,MATCH(A25,KYC_CDD_FRAMEWORK!$A$30:$A$59,0))</f>
        <v>EDD</v>
      </c>
      <c r="H25" s="129">
        <v>45000</v>
      </c>
      <c r="I25" s="12" t="s">
        <v>13</v>
      </c>
      <c r="J25" s="128">
        <v>43577</v>
      </c>
    </row>
    <row r="26" spans="1:10">
      <c r="A26" s="12" t="s">
        <v>75</v>
      </c>
      <c r="B26" s="12" t="s">
        <v>7</v>
      </c>
      <c r="C26" s="12" t="s">
        <v>8</v>
      </c>
      <c r="D26" s="12" t="s">
        <v>9</v>
      </c>
      <c r="E26" s="12" t="s">
        <v>76</v>
      </c>
      <c r="F26" s="134" t="s">
        <v>62</v>
      </c>
      <c r="G26" s="133" t="str">
        <f>INDEX(KYC_CDD_FRAMEWORK!$K$30:$K$59,MATCH(A26,KYC_CDD_FRAMEWORK!$A$30:$A$59,0))</f>
        <v>EDD</v>
      </c>
      <c r="H26" s="129">
        <v>20000</v>
      </c>
      <c r="I26" s="12" t="s">
        <v>77</v>
      </c>
      <c r="J26" s="128">
        <v>42504</v>
      </c>
    </row>
    <row r="27" spans="1:10">
      <c r="A27" s="12" t="s">
        <v>78</v>
      </c>
      <c r="B27" s="12" t="s">
        <v>7</v>
      </c>
      <c r="C27" s="12" t="s">
        <v>8</v>
      </c>
      <c r="D27" s="12" t="s">
        <v>9</v>
      </c>
      <c r="E27" s="12" t="s">
        <v>79</v>
      </c>
      <c r="F27" s="130" t="s">
        <v>11</v>
      </c>
      <c r="G27" s="130" t="str">
        <f>INDEX(KYC_CDD_FRAMEWORK!$K$30:$K$59,MATCH(A27,KYC_CDD_FRAMEWORK!$A$30:$A$59,0))</f>
        <v>SDD</v>
      </c>
      <c r="H27" s="129">
        <v>2000</v>
      </c>
      <c r="I27" s="12" t="s">
        <v>77</v>
      </c>
      <c r="J27" s="128">
        <v>42005</v>
      </c>
    </row>
    <row r="28" spans="1:10">
      <c r="A28" s="12" t="s">
        <v>80</v>
      </c>
      <c r="B28" s="12" t="s">
        <v>7</v>
      </c>
      <c r="C28" s="12" t="s">
        <v>8</v>
      </c>
      <c r="D28" s="12" t="s">
        <v>9</v>
      </c>
      <c r="E28" s="12" t="s">
        <v>81</v>
      </c>
      <c r="F28" s="130" t="s">
        <v>11</v>
      </c>
      <c r="G28" s="130" t="str">
        <f>INDEX(KYC_CDD_FRAMEWORK!$K$30:$K$59,MATCH(A28,KYC_CDD_FRAMEWORK!$A$30:$A$59,0))</f>
        <v>SDD</v>
      </c>
      <c r="H28" s="129">
        <v>1000</v>
      </c>
      <c r="I28" s="12" t="s">
        <v>77</v>
      </c>
      <c r="J28" s="128">
        <v>42628</v>
      </c>
    </row>
    <row r="29" spans="1:10">
      <c r="A29" s="12" t="s">
        <v>83</v>
      </c>
      <c r="B29" s="12" t="s">
        <v>7</v>
      </c>
      <c r="C29" s="12" t="s">
        <v>84</v>
      </c>
      <c r="D29" s="12" t="s">
        <v>9</v>
      </c>
      <c r="E29" s="12" t="s">
        <v>85</v>
      </c>
      <c r="F29" s="134" t="s">
        <v>62</v>
      </c>
      <c r="G29" s="133" t="str">
        <f>INDEX(KYC_CDD_FRAMEWORK!$K$30:$K$59,MATCH(A29,KYC_CDD_FRAMEWORK!$A$30:$A$59,0))</f>
        <v>EDD</v>
      </c>
      <c r="H29" s="129">
        <v>15000</v>
      </c>
      <c r="I29" s="12" t="s">
        <v>77</v>
      </c>
      <c r="J29" s="128">
        <v>43151</v>
      </c>
    </row>
    <row r="30" spans="1:10">
      <c r="A30" s="12" t="s">
        <v>86</v>
      </c>
      <c r="B30" s="12" t="s">
        <v>87</v>
      </c>
      <c r="C30" s="12" t="s">
        <v>88</v>
      </c>
      <c r="D30" s="12" t="s">
        <v>9</v>
      </c>
      <c r="E30" s="12" t="s">
        <v>89</v>
      </c>
      <c r="F30" s="134" t="s">
        <v>62</v>
      </c>
      <c r="G30" s="133" t="str">
        <f>INDEX(KYC_CDD_FRAMEWORK!$K$30:$K$59,MATCH(A30,KYC_CDD_FRAMEWORK!$A$30:$A$59,0))</f>
        <v>EDD</v>
      </c>
      <c r="H30" s="129">
        <v>100000</v>
      </c>
      <c r="I30" s="12" t="s">
        <v>13</v>
      </c>
      <c r="J30" s="128">
        <v>42887</v>
      </c>
    </row>
    <row r="31" spans="1:10">
      <c r="A31" s="12" t="s">
        <v>90</v>
      </c>
      <c r="B31" s="12" t="s">
        <v>87</v>
      </c>
      <c r="C31" s="12" t="s">
        <v>88</v>
      </c>
      <c r="D31" s="12" t="s">
        <v>9</v>
      </c>
      <c r="E31" s="12" t="s">
        <v>91</v>
      </c>
      <c r="F31" s="132" t="s">
        <v>39</v>
      </c>
      <c r="G31" s="131" t="str">
        <f>INDEX(KYC_CDD_FRAMEWORK!$K$30:$K$59,MATCH(A31,KYC_CDD_FRAMEWORK!$A$30:$A$59,0))</f>
        <v>CDD</v>
      </c>
      <c r="H31" s="129">
        <v>75000</v>
      </c>
      <c r="I31" s="12" t="s">
        <v>13</v>
      </c>
      <c r="J31" s="128">
        <v>43174</v>
      </c>
    </row>
  </sheetData>
  <conditionalFormatting sqref="F2:F31">
    <cfRule type="containsText" dxfId="15" priority="1" operator="containsText" text="Low">
      <formula>NOT(ISERROR(SEARCH("Low",F2)))</formula>
    </cfRule>
    <cfRule type="containsText" dxfId="14" priority="2" operator="containsText" text="Medium">
      <formula>NOT(ISERROR(SEARCH("Medium",F2)))</formula>
    </cfRule>
    <cfRule type="containsText" dxfId="13" priority="3" operator="containsText" text="Medium">
      <formula>NOT(ISERROR(SEARCH("Medium",F2)))</formula>
    </cfRule>
    <cfRule type="containsText" dxfId="12" priority="4" operator="containsText" text="High">
      <formula>NOT(ISERROR(SEARCH("High",F2)))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5BDE2-3807-8D41-A4A6-9E07E5EA9222}">
  <dimension ref="A1:N201"/>
  <sheetViews>
    <sheetView showGridLines="0" tabSelected="1" workbookViewId="0">
      <pane ySplit="1" topLeftCell="A62" activePane="bottomLeft" state="frozen"/>
      <selection pane="bottomLeft" activeCell="D84" sqref="D84"/>
    </sheetView>
  </sheetViews>
  <sheetFormatPr baseColWidth="10" defaultRowHeight="16"/>
  <cols>
    <col min="1" max="1" width="18.5" customWidth="1"/>
    <col min="2" max="2" width="10.1640625" bestFit="1" customWidth="1"/>
    <col min="3" max="3" width="16.6640625" customWidth="1"/>
    <col min="4" max="4" width="21.1640625" customWidth="1"/>
    <col min="5" max="5" width="16.6640625" customWidth="1"/>
    <col min="6" max="6" width="14" customWidth="1"/>
    <col min="7" max="7" width="23.6640625" customWidth="1"/>
    <col min="8" max="8" width="26" customWidth="1"/>
    <col min="9" max="9" width="23" customWidth="1"/>
    <col min="10" max="10" width="12.5" customWidth="1"/>
    <col min="11" max="11" width="20.6640625" customWidth="1"/>
    <col min="12" max="12" width="11" customWidth="1"/>
    <col min="13" max="13" width="20.33203125" customWidth="1"/>
    <col min="14" max="14" width="11.83203125" customWidth="1"/>
  </cols>
  <sheetData>
    <row r="1" spans="1:14" ht="19">
      <c r="A1" s="136" t="s">
        <v>92</v>
      </c>
      <c r="B1" s="136" t="s">
        <v>93</v>
      </c>
      <c r="C1" s="136" t="s">
        <v>0</v>
      </c>
      <c r="D1" s="136" t="s">
        <v>94</v>
      </c>
      <c r="E1" s="136" t="s">
        <v>95</v>
      </c>
      <c r="F1" s="136" t="s">
        <v>96</v>
      </c>
      <c r="G1" s="136" t="s">
        <v>97</v>
      </c>
      <c r="H1" s="136" t="s">
        <v>98</v>
      </c>
      <c r="I1" s="136" t="s">
        <v>99</v>
      </c>
      <c r="J1" s="136" t="s">
        <v>100</v>
      </c>
      <c r="K1" s="136" t="s">
        <v>101</v>
      </c>
      <c r="L1" s="136" t="s">
        <v>102</v>
      </c>
      <c r="M1" s="136" t="s">
        <v>103</v>
      </c>
      <c r="N1" s="136" t="s">
        <v>104</v>
      </c>
    </row>
    <row r="2" spans="1:14">
      <c r="A2" s="10" t="s">
        <v>105</v>
      </c>
      <c r="B2" s="97">
        <v>45292</v>
      </c>
      <c r="C2" s="10" t="s">
        <v>6</v>
      </c>
      <c r="D2" s="10" t="s">
        <v>106</v>
      </c>
      <c r="E2" s="137">
        <v>3500</v>
      </c>
      <c r="F2" s="10" t="s">
        <v>107</v>
      </c>
      <c r="G2" s="10" t="s">
        <v>108</v>
      </c>
      <c r="H2" s="10" t="s">
        <v>9</v>
      </c>
      <c r="I2" s="10" t="s">
        <v>109</v>
      </c>
      <c r="J2" s="10" t="s">
        <v>110</v>
      </c>
      <c r="K2" s="137">
        <v>3500</v>
      </c>
      <c r="L2" s="10" t="s">
        <v>111</v>
      </c>
      <c r="M2" s="10"/>
      <c r="N2" s="10"/>
    </row>
    <row r="3" spans="1:14">
      <c r="A3" s="11" t="s">
        <v>118</v>
      </c>
      <c r="B3" s="98">
        <v>45292</v>
      </c>
      <c r="C3" s="11" t="s">
        <v>14</v>
      </c>
      <c r="D3" s="11" t="s">
        <v>106</v>
      </c>
      <c r="E3" s="138">
        <v>3200</v>
      </c>
      <c r="F3" s="11" t="s">
        <v>107</v>
      </c>
      <c r="G3" s="11" t="s">
        <v>119</v>
      </c>
      <c r="H3" s="11" t="s">
        <v>9</v>
      </c>
      <c r="I3" s="11" t="s">
        <v>120</v>
      </c>
      <c r="J3" s="11" t="s">
        <v>110</v>
      </c>
      <c r="K3" s="138">
        <v>3200</v>
      </c>
      <c r="L3" s="11" t="s">
        <v>111</v>
      </c>
      <c r="M3" s="11"/>
      <c r="N3" s="11"/>
    </row>
    <row r="4" spans="1:14">
      <c r="A4" s="11" t="s">
        <v>123</v>
      </c>
      <c r="B4" s="98">
        <v>45292</v>
      </c>
      <c r="C4" s="11" t="s">
        <v>16</v>
      </c>
      <c r="D4" s="11" t="s">
        <v>106</v>
      </c>
      <c r="E4" s="138">
        <v>5500</v>
      </c>
      <c r="F4" s="11" t="s">
        <v>107</v>
      </c>
      <c r="G4" s="11" t="s">
        <v>124</v>
      </c>
      <c r="H4" s="11" t="s">
        <v>9</v>
      </c>
      <c r="I4" s="11" t="s">
        <v>125</v>
      </c>
      <c r="J4" s="11" t="s">
        <v>110</v>
      </c>
      <c r="K4" s="138">
        <v>5500</v>
      </c>
      <c r="L4" s="11" t="s">
        <v>111</v>
      </c>
      <c r="M4" s="11"/>
      <c r="N4" s="11"/>
    </row>
    <row r="5" spans="1:14">
      <c r="A5" s="11" t="s">
        <v>129</v>
      </c>
      <c r="B5" s="98">
        <v>45292</v>
      </c>
      <c r="C5" s="11" t="s">
        <v>18</v>
      </c>
      <c r="D5" s="11" t="s">
        <v>106</v>
      </c>
      <c r="E5" s="138">
        <v>6000</v>
      </c>
      <c r="F5" s="11" t="s">
        <v>107</v>
      </c>
      <c r="G5" s="11" t="s">
        <v>130</v>
      </c>
      <c r="H5" s="11" t="s">
        <v>9</v>
      </c>
      <c r="I5" s="11" t="s">
        <v>131</v>
      </c>
      <c r="J5" s="11" t="s">
        <v>110</v>
      </c>
      <c r="K5" s="138">
        <v>6000</v>
      </c>
      <c r="L5" s="11" t="s">
        <v>111</v>
      </c>
      <c r="M5" s="11"/>
      <c r="N5" s="11"/>
    </row>
    <row r="6" spans="1:14">
      <c r="A6" s="11" t="s">
        <v>134</v>
      </c>
      <c r="B6" s="98">
        <v>45292</v>
      </c>
      <c r="C6" s="11" t="s">
        <v>20</v>
      </c>
      <c r="D6" s="11" t="s">
        <v>106</v>
      </c>
      <c r="E6" s="138">
        <v>3800</v>
      </c>
      <c r="F6" s="11" t="s">
        <v>107</v>
      </c>
      <c r="G6" s="11" t="s">
        <v>135</v>
      </c>
      <c r="H6" s="11" t="s">
        <v>9</v>
      </c>
      <c r="I6" s="11" t="s">
        <v>136</v>
      </c>
      <c r="J6" s="11" t="s">
        <v>110</v>
      </c>
      <c r="K6" s="138">
        <v>3800</v>
      </c>
      <c r="L6" s="11" t="s">
        <v>111</v>
      </c>
      <c r="M6" s="11"/>
      <c r="N6" s="11"/>
    </row>
    <row r="7" spans="1:14">
      <c r="A7" s="10" t="s">
        <v>204</v>
      </c>
      <c r="B7" s="97">
        <v>45292</v>
      </c>
      <c r="C7" s="10" t="s">
        <v>22</v>
      </c>
      <c r="D7" s="10" t="s">
        <v>106</v>
      </c>
      <c r="E7" s="137">
        <v>3000</v>
      </c>
      <c r="F7" s="10" t="s">
        <v>107</v>
      </c>
      <c r="G7" s="10" t="s">
        <v>145</v>
      </c>
      <c r="H7" s="10" t="s">
        <v>9</v>
      </c>
      <c r="I7" s="10" t="s">
        <v>146</v>
      </c>
      <c r="J7" s="10" t="s">
        <v>110</v>
      </c>
      <c r="K7" s="137">
        <v>3000</v>
      </c>
      <c r="L7" s="10" t="s">
        <v>111</v>
      </c>
      <c r="M7" s="10"/>
      <c r="N7" s="10"/>
    </row>
    <row r="8" spans="1:14">
      <c r="A8" s="11" t="s">
        <v>205</v>
      </c>
      <c r="B8" s="98">
        <v>45292</v>
      </c>
      <c r="C8" s="11" t="s">
        <v>24</v>
      </c>
      <c r="D8" s="11" t="s">
        <v>106</v>
      </c>
      <c r="E8" s="138">
        <v>4500</v>
      </c>
      <c r="F8" s="11" t="s">
        <v>107</v>
      </c>
      <c r="G8" s="11" t="s">
        <v>149</v>
      </c>
      <c r="H8" s="11" t="s">
        <v>9</v>
      </c>
      <c r="I8" s="11" t="s">
        <v>125</v>
      </c>
      <c r="J8" s="11" t="s">
        <v>110</v>
      </c>
      <c r="K8" s="138">
        <v>4500</v>
      </c>
      <c r="L8" s="11" t="s">
        <v>111</v>
      </c>
      <c r="M8" s="11"/>
      <c r="N8" s="11"/>
    </row>
    <row r="9" spans="1:14">
      <c r="A9" s="10" t="s">
        <v>206</v>
      </c>
      <c r="B9" s="97">
        <v>45292</v>
      </c>
      <c r="C9" s="10" t="s">
        <v>26</v>
      </c>
      <c r="D9" s="10" t="s">
        <v>106</v>
      </c>
      <c r="E9" s="137">
        <v>3300</v>
      </c>
      <c r="F9" s="10" t="s">
        <v>107</v>
      </c>
      <c r="G9" s="10" t="s">
        <v>151</v>
      </c>
      <c r="H9" s="10" t="s">
        <v>9</v>
      </c>
      <c r="I9" s="10" t="s">
        <v>109</v>
      </c>
      <c r="J9" s="10" t="s">
        <v>110</v>
      </c>
      <c r="K9" s="137">
        <v>3300</v>
      </c>
      <c r="L9" s="10" t="s">
        <v>111</v>
      </c>
      <c r="M9" s="10"/>
      <c r="N9" s="10"/>
    </row>
    <row r="10" spans="1:14">
      <c r="A10" s="11" t="s">
        <v>207</v>
      </c>
      <c r="B10" s="98">
        <v>45292</v>
      </c>
      <c r="C10" s="11" t="s">
        <v>28</v>
      </c>
      <c r="D10" s="11" t="s">
        <v>106</v>
      </c>
      <c r="E10" s="138">
        <v>5000</v>
      </c>
      <c r="F10" s="11" t="s">
        <v>107</v>
      </c>
      <c r="G10" s="11" t="s">
        <v>154</v>
      </c>
      <c r="H10" s="11" t="s">
        <v>9</v>
      </c>
      <c r="I10" s="11" t="s">
        <v>120</v>
      </c>
      <c r="J10" s="11" t="s">
        <v>110</v>
      </c>
      <c r="K10" s="138">
        <v>5000</v>
      </c>
      <c r="L10" s="11" t="s">
        <v>111</v>
      </c>
      <c r="M10" s="11"/>
      <c r="N10" s="11"/>
    </row>
    <row r="11" spans="1:14">
      <c r="A11" s="10" t="s">
        <v>208</v>
      </c>
      <c r="B11" s="97">
        <v>45292</v>
      </c>
      <c r="C11" s="10" t="s">
        <v>30</v>
      </c>
      <c r="D11" s="10" t="s">
        <v>106</v>
      </c>
      <c r="E11" s="137">
        <v>4000</v>
      </c>
      <c r="F11" s="10" t="s">
        <v>107</v>
      </c>
      <c r="G11" s="10" t="s">
        <v>158</v>
      </c>
      <c r="H11" s="10" t="s">
        <v>9</v>
      </c>
      <c r="I11" s="10" t="s">
        <v>131</v>
      </c>
      <c r="J11" s="10" t="s">
        <v>110</v>
      </c>
      <c r="K11" s="137">
        <v>4000</v>
      </c>
      <c r="L11" s="10" t="s">
        <v>111</v>
      </c>
      <c r="M11" s="10"/>
      <c r="N11" s="10"/>
    </row>
    <row r="12" spans="1:14">
      <c r="A12" s="11" t="s">
        <v>112</v>
      </c>
      <c r="B12" s="98">
        <v>45296</v>
      </c>
      <c r="C12" s="11" t="s">
        <v>6</v>
      </c>
      <c r="D12" s="11" t="s">
        <v>113</v>
      </c>
      <c r="E12" s="138">
        <v>850</v>
      </c>
      <c r="F12" s="11" t="s">
        <v>107</v>
      </c>
      <c r="G12" s="11" t="s">
        <v>114</v>
      </c>
      <c r="H12" s="11" t="s">
        <v>9</v>
      </c>
      <c r="I12" s="11" t="s">
        <v>109</v>
      </c>
      <c r="J12" s="11" t="s">
        <v>115</v>
      </c>
      <c r="K12" s="138">
        <v>2650</v>
      </c>
      <c r="L12" s="11" t="s">
        <v>111</v>
      </c>
      <c r="M12" s="11"/>
      <c r="N12" s="11"/>
    </row>
    <row r="13" spans="1:14">
      <c r="A13" s="10" t="s">
        <v>121</v>
      </c>
      <c r="B13" s="97">
        <v>45297</v>
      </c>
      <c r="C13" s="10" t="s">
        <v>14</v>
      </c>
      <c r="D13" s="10" t="s">
        <v>113</v>
      </c>
      <c r="E13" s="137">
        <v>750</v>
      </c>
      <c r="F13" s="10" t="s">
        <v>107</v>
      </c>
      <c r="G13" s="10" t="s">
        <v>122</v>
      </c>
      <c r="H13" s="10" t="s">
        <v>9</v>
      </c>
      <c r="I13" s="10" t="s">
        <v>120</v>
      </c>
      <c r="J13" s="10" t="s">
        <v>115</v>
      </c>
      <c r="K13" s="137">
        <v>2450</v>
      </c>
      <c r="L13" s="10" t="s">
        <v>111</v>
      </c>
      <c r="M13" s="10"/>
      <c r="N13" s="10"/>
    </row>
    <row r="14" spans="1:14">
      <c r="A14" s="10" t="s">
        <v>132</v>
      </c>
      <c r="B14" s="97">
        <v>45298</v>
      </c>
      <c r="C14" s="10" t="s">
        <v>18</v>
      </c>
      <c r="D14" s="10" t="s">
        <v>133</v>
      </c>
      <c r="E14" s="137">
        <v>1500</v>
      </c>
      <c r="F14" s="10" t="s">
        <v>107</v>
      </c>
      <c r="G14" s="10" t="s">
        <v>122</v>
      </c>
      <c r="H14" s="10" t="s">
        <v>9</v>
      </c>
      <c r="I14" s="10" t="s">
        <v>131</v>
      </c>
      <c r="J14" s="10" t="s">
        <v>115</v>
      </c>
      <c r="K14" s="137">
        <v>4500</v>
      </c>
      <c r="L14" s="10" t="s">
        <v>111</v>
      </c>
      <c r="M14" s="10"/>
      <c r="N14" s="10"/>
    </row>
    <row r="15" spans="1:14">
      <c r="A15" s="10" t="s">
        <v>126</v>
      </c>
      <c r="B15" s="97">
        <v>45299</v>
      </c>
      <c r="C15" s="10" t="s">
        <v>16</v>
      </c>
      <c r="D15" s="10" t="s">
        <v>127</v>
      </c>
      <c r="E15" s="137">
        <v>1200</v>
      </c>
      <c r="F15" s="10" t="s">
        <v>107</v>
      </c>
      <c r="G15" s="10" t="s">
        <v>128</v>
      </c>
      <c r="H15" s="10" t="s">
        <v>9</v>
      </c>
      <c r="I15" s="10" t="s">
        <v>125</v>
      </c>
      <c r="J15" s="10" t="s">
        <v>115</v>
      </c>
      <c r="K15" s="137">
        <v>4300</v>
      </c>
      <c r="L15" s="10" t="s">
        <v>111</v>
      </c>
      <c r="M15" s="10"/>
      <c r="N15" s="10"/>
    </row>
    <row r="16" spans="1:14">
      <c r="A16" s="10" t="s">
        <v>116</v>
      </c>
      <c r="B16" s="97">
        <v>45301</v>
      </c>
      <c r="C16" s="10" t="s">
        <v>6</v>
      </c>
      <c r="D16" s="10" t="s">
        <v>113</v>
      </c>
      <c r="E16" s="137">
        <v>120</v>
      </c>
      <c r="F16" s="10" t="s">
        <v>107</v>
      </c>
      <c r="G16" s="10" t="s">
        <v>117</v>
      </c>
      <c r="H16" s="10" t="s">
        <v>9</v>
      </c>
      <c r="I16" s="10" t="s">
        <v>109</v>
      </c>
      <c r="J16" s="10" t="s">
        <v>115</v>
      </c>
      <c r="K16" s="137">
        <v>2530</v>
      </c>
      <c r="L16" s="10" t="s">
        <v>111</v>
      </c>
      <c r="M16" s="10"/>
      <c r="N16" s="10"/>
    </row>
    <row r="17" spans="1:14">
      <c r="A17" s="11" t="s">
        <v>209</v>
      </c>
      <c r="B17" s="98">
        <v>45301</v>
      </c>
      <c r="C17" s="11" t="s">
        <v>36</v>
      </c>
      <c r="D17" s="11" t="s">
        <v>166</v>
      </c>
      <c r="E17" s="138">
        <v>1500</v>
      </c>
      <c r="F17" s="11" t="s">
        <v>107</v>
      </c>
      <c r="G17" s="11" t="s">
        <v>195</v>
      </c>
      <c r="H17" s="11" t="s">
        <v>168</v>
      </c>
      <c r="I17" s="11" t="s">
        <v>169</v>
      </c>
      <c r="J17" s="11" t="s">
        <v>115</v>
      </c>
      <c r="K17" s="138">
        <v>5500</v>
      </c>
      <c r="L17" s="11" t="s">
        <v>111</v>
      </c>
      <c r="M17" s="11"/>
      <c r="N17" s="11"/>
    </row>
    <row r="18" spans="1:14">
      <c r="A18" s="10" t="s">
        <v>210</v>
      </c>
      <c r="B18" s="97">
        <v>45306</v>
      </c>
      <c r="C18" s="10" t="s">
        <v>40</v>
      </c>
      <c r="D18" s="10" t="s">
        <v>113</v>
      </c>
      <c r="E18" s="137">
        <v>2500</v>
      </c>
      <c r="F18" s="10" t="s">
        <v>107</v>
      </c>
      <c r="G18" s="10" t="s">
        <v>211</v>
      </c>
      <c r="H18" s="10" t="s">
        <v>9</v>
      </c>
      <c r="I18" s="10" t="s">
        <v>109</v>
      </c>
      <c r="J18" s="10" t="s">
        <v>115</v>
      </c>
      <c r="K18" s="137">
        <v>9500</v>
      </c>
      <c r="L18" s="10" t="s">
        <v>111</v>
      </c>
      <c r="M18" s="10"/>
      <c r="N18" s="10"/>
    </row>
    <row r="19" spans="1:14">
      <c r="A19" s="11" t="s">
        <v>212</v>
      </c>
      <c r="B19" s="98">
        <v>45311</v>
      </c>
      <c r="C19" s="11" t="s">
        <v>43</v>
      </c>
      <c r="D19" s="11" t="s">
        <v>113</v>
      </c>
      <c r="E19" s="138">
        <v>1200</v>
      </c>
      <c r="F19" s="11" t="s">
        <v>107</v>
      </c>
      <c r="G19" s="11" t="s">
        <v>213</v>
      </c>
      <c r="H19" s="11" t="s">
        <v>9</v>
      </c>
      <c r="I19" s="11" t="s">
        <v>131</v>
      </c>
      <c r="J19" s="11" t="s">
        <v>115</v>
      </c>
      <c r="K19" s="138">
        <v>13800</v>
      </c>
      <c r="L19" s="11" t="s">
        <v>111</v>
      </c>
      <c r="M19" s="11"/>
      <c r="N19" s="11"/>
    </row>
    <row r="20" spans="1:14">
      <c r="A20" s="10" t="s">
        <v>214</v>
      </c>
      <c r="B20" s="97">
        <v>45316</v>
      </c>
      <c r="C20" s="10" t="s">
        <v>46</v>
      </c>
      <c r="D20" s="10" t="s">
        <v>113</v>
      </c>
      <c r="E20" s="137">
        <v>500</v>
      </c>
      <c r="F20" s="10" t="s">
        <v>107</v>
      </c>
      <c r="G20" s="10" t="s">
        <v>19</v>
      </c>
      <c r="H20" s="10" t="s">
        <v>9</v>
      </c>
      <c r="I20" s="10" t="s">
        <v>125</v>
      </c>
      <c r="J20" s="10" t="s">
        <v>115</v>
      </c>
      <c r="K20" s="137">
        <v>24500</v>
      </c>
      <c r="L20" s="10" t="s">
        <v>111</v>
      </c>
      <c r="M20" s="10"/>
      <c r="N20" s="10"/>
    </row>
    <row r="21" spans="1:14">
      <c r="A21" s="11" t="s">
        <v>215</v>
      </c>
      <c r="B21" s="98">
        <v>45319</v>
      </c>
      <c r="C21" s="11" t="s">
        <v>49</v>
      </c>
      <c r="D21" s="11" t="s">
        <v>216</v>
      </c>
      <c r="E21" s="138">
        <v>3000</v>
      </c>
      <c r="F21" s="11" t="s">
        <v>107</v>
      </c>
      <c r="G21" s="11" t="s">
        <v>217</v>
      </c>
      <c r="H21" s="11" t="s">
        <v>9</v>
      </c>
      <c r="I21" s="11" t="s">
        <v>218</v>
      </c>
      <c r="J21" s="11" t="s">
        <v>110</v>
      </c>
      <c r="K21" s="138">
        <v>3000</v>
      </c>
      <c r="L21" s="11" t="s">
        <v>111</v>
      </c>
      <c r="M21" s="11"/>
      <c r="N21" s="11"/>
    </row>
    <row r="22" spans="1:14">
      <c r="A22" s="10" t="s">
        <v>219</v>
      </c>
      <c r="B22" s="97">
        <v>45323</v>
      </c>
      <c r="C22" s="10" t="s">
        <v>22</v>
      </c>
      <c r="D22" s="10" t="s">
        <v>106</v>
      </c>
      <c r="E22" s="137">
        <v>3000</v>
      </c>
      <c r="F22" s="10" t="s">
        <v>107</v>
      </c>
      <c r="G22" s="10" t="s">
        <v>145</v>
      </c>
      <c r="H22" s="10" t="s">
        <v>9</v>
      </c>
      <c r="I22" s="10" t="s">
        <v>146</v>
      </c>
      <c r="J22" s="10" t="s">
        <v>110</v>
      </c>
      <c r="K22" s="137">
        <v>3000</v>
      </c>
      <c r="L22" s="10" t="s">
        <v>111</v>
      </c>
      <c r="M22" s="10"/>
      <c r="N22" s="10"/>
    </row>
    <row r="23" spans="1:14">
      <c r="A23" s="11" t="s">
        <v>220</v>
      </c>
      <c r="B23" s="98">
        <v>45323</v>
      </c>
      <c r="C23" s="11" t="s">
        <v>24</v>
      </c>
      <c r="D23" s="11" t="s">
        <v>106</v>
      </c>
      <c r="E23" s="138">
        <v>4500</v>
      </c>
      <c r="F23" s="11" t="s">
        <v>107</v>
      </c>
      <c r="G23" s="11" t="s">
        <v>149</v>
      </c>
      <c r="H23" s="11" t="s">
        <v>9</v>
      </c>
      <c r="I23" s="11" t="s">
        <v>125</v>
      </c>
      <c r="J23" s="11" t="s">
        <v>110</v>
      </c>
      <c r="K23" s="138">
        <v>4500</v>
      </c>
      <c r="L23" s="11" t="s">
        <v>111</v>
      </c>
      <c r="M23" s="11"/>
      <c r="N23" s="11"/>
    </row>
    <row r="24" spans="1:14">
      <c r="A24" s="10" t="s">
        <v>221</v>
      </c>
      <c r="B24" s="97">
        <v>45323</v>
      </c>
      <c r="C24" s="10" t="s">
        <v>26</v>
      </c>
      <c r="D24" s="10" t="s">
        <v>106</v>
      </c>
      <c r="E24" s="137">
        <v>3300</v>
      </c>
      <c r="F24" s="10" t="s">
        <v>107</v>
      </c>
      <c r="G24" s="10" t="s">
        <v>151</v>
      </c>
      <c r="H24" s="10" t="s">
        <v>9</v>
      </c>
      <c r="I24" s="10" t="s">
        <v>109</v>
      </c>
      <c r="J24" s="10" t="s">
        <v>110</v>
      </c>
      <c r="K24" s="137">
        <v>3300</v>
      </c>
      <c r="L24" s="10" t="s">
        <v>111</v>
      </c>
      <c r="M24" s="10"/>
      <c r="N24" s="10"/>
    </row>
    <row r="25" spans="1:14">
      <c r="A25" s="11" t="s">
        <v>222</v>
      </c>
      <c r="B25" s="98">
        <v>45323</v>
      </c>
      <c r="C25" s="11" t="s">
        <v>28</v>
      </c>
      <c r="D25" s="11" t="s">
        <v>106</v>
      </c>
      <c r="E25" s="138">
        <v>5000</v>
      </c>
      <c r="F25" s="11" t="s">
        <v>107</v>
      </c>
      <c r="G25" s="11" t="s">
        <v>154</v>
      </c>
      <c r="H25" s="11" t="s">
        <v>9</v>
      </c>
      <c r="I25" s="11" t="s">
        <v>120</v>
      </c>
      <c r="J25" s="11" t="s">
        <v>110</v>
      </c>
      <c r="K25" s="138">
        <v>5000</v>
      </c>
      <c r="L25" s="11" t="s">
        <v>111</v>
      </c>
      <c r="M25" s="11"/>
      <c r="N25" s="11"/>
    </row>
    <row r="26" spans="1:14">
      <c r="A26" s="10" t="s">
        <v>223</v>
      </c>
      <c r="B26" s="97">
        <v>45323</v>
      </c>
      <c r="C26" s="10" t="s">
        <v>30</v>
      </c>
      <c r="D26" s="10" t="s">
        <v>106</v>
      </c>
      <c r="E26" s="137">
        <v>4000</v>
      </c>
      <c r="F26" s="10" t="s">
        <v>107</v>
      </c>
      <c r="G26" s="10" t="s">
        <v>158</v>
      </c>
      <c r="H26" s="10" t="s">
        <v>9</v>
      </c>
      <c r="I26" s="10" t="s">
        <v>131</v>
      </c>
      <c r="J26" s="10" t="s">
        <v>110</v>
      </c>
      <c r="K26" s="137">
        <v>4000</v>
      </c>
      <c r="L26" s="10" t="s">
        <v>111</v>
      </c>
      <c r="M26" s="10"/>
      <c r="N26" s="10"/>
    </row>
    <row r="27" spans="1:14">
      <c r="A27" s="10" t="s">
        <v>137</v>
      </c>
      <c r="B27" s="97">
        <v>45324</v>
      </c>
      <c r="C27" s="10" t="s">
        <v>6</v>
      </c>
      <c r="D27" s="10" t="s">
        <v>106</v>
      </c>
      <c r="E27" s="137">
        <v>3500</v>
      </c>
      <c r="F27" s="10" t="s">
        <v>107</v>
      </c>
      <c r="G27" s="10" t="s">
        <v>108</v>
      </c>
      <c r="H27" s="10" t="s">
        <v>9</v>
      </c>
      <c r="I27" s="10" t="s">
        <v>109</v>
      </c>
      <c r="J27" s="10" t="s">
        <v>110</v>
      </c>
      <c r="K27" s="137">
        <v>3500</v>
      </c>
      <c r="L27" s="10" t="s">
        <v>111</v>
      </c>
      <c r="M27" s="10"/>
      <c r="N27" s="10"/>
    </row>
    <row r="28" spans="1:14">
      <c r="A28" s="11" t="s">
        <v>138</v>
      </c>
      <c r="B28" s="98">
        <v>45324</v>
      </c>
      <c r="C28" s="11" t="s">
        <v>14</v>
      </c>
      <c r="D28" s="11" t="s">
        <v>106</v>
      </c>
      <c r="E28" s="138">
        <v>3200</v>
      </c>
      <c r="F28" s="11" t="s">
        <v>107</v>
      </c>
      <c r="G28" s="11" t="s">
        <v>119</v>
      </c>
      <c r="H28" s="11" t="s">
        <v>9</v>
      </c>
      <c r="I28" s="11" t="s">
        <v>120</v>
      </c>
      <c r="J28" s="11" t="s">
        <v>110</v>
      </c>
      <c r="K28" s="138">
        <v>3200</v>
      </c>
      <c r="L28" s="11" t="s">
        <v>111</v>
      </c>
      <c r="M28" s="11"/>
      <c r="N28" s="11"/>
    </row>
    <row r="29" spans="1:14">
      <c r="A29" s="10" t="s">
        <v>139</v>
      </c>
      <c r="B29" s="97">
        <v>45324</v>
      </c>
      <c r="C29" s="10" t="s">
        <v>16</v>
      </c>
      <c r="D29" s="10" t="s">
        <v>106</v>
      </c>
      <c r="E29" s="137">
        <v>5500</v>
      </c>
      <c r="F29" s="10" t="s">
        <v>107</v>
      </c>
      <c r="G29" s="10" t="s">
        <v>124</v>
      </c>
      <c r="H29" s="10" t="s">
        <v>9</v>
      </c>
      <c r="I29" s="10" t="s">
        <v>125</v>
      </c>
      <c r="J29" s="10" t="s">
        <v>110</v>
      </c>
      <c r="K29" s="137">
        <v>5500</v>
      </c>
      <c r="L29" s="10" t="s">
        <v>111</v>
      </c>
      <c r="M29" s="10"/>
      <c r="N29" s="10"/>
    </row>
    <row r="30" spans="1:14">
      <c r="A30" s="11" t="s">
        <v>140</v>
      </c>
      <c r="B30" s="98">
        <v>45324</v>
      </c>
      <c r="C30" s="11" t="s">
        <v>18</v>
      </c>
      <c r="D30" s="11" t="s">
        <v>106</v>
      </c>
      <c r="E30" s="138">
        <v>6000</v>
      </c>
      <c r="F30" s="11" t="s">
        <v>107</v>
      </c>
      <c r="G30" s="11" t="s">
        <v>130</v>
      </c>
      <c r="H30" s="11" t="s">
        <v>9</v>
      </c>
      <c r="I30" s="11" t="s">
        <v>131</v>
      </c>
      <c r="J30" s="11" t="s">
        <v>110</v>
      </c>
      <c r="K30" s="138">
        <v>6000</v>
      </c>
      <c r="L30" s="11" t="s">
        <v>111</v>
      </c>
      <c r="M30" s="11"/>
      <c r="N30" s="11"/>
    </row>
    <row r="31" spans="1:14">
      <c r="A31" s="10" t="s">
        <v>141</v>
      </c>
      <c r="B31" s="97">
        <v>45324</v>
      </c>
      <c r="C31" s="10" t="s">
        <v>20</v>
      </c>
      <c r="D31" s="10" t="s">
        <v>106</v>
      </c>
      <c r="E31" s="137">
        <v>3800</v>
      </c>
      <c r="F31" s="10" t="s">
        <v>107</v>
      </c>
      <c r="G31" s="10" t="s">
        <v>135</v>
      </c>
      <c r="H31" s="10" t="s">
        <v>9</v>
      </c>
      <c r="I31" s="10" t="s">
        <v>136</v>
      </c>
      <c r="J31" s="10" t="s">
        <v>110</v>
      </c>
      <c r="K31" s="137">
        <v>3800</v>
      </c>
      <c r="L31" s="10" t="s">
        <v>111</v>
      </c>
      <c r="M31" s="10"/>
      <c r="N31" s="10"/>
    </row>
    <row r="32" spans="1:14">
      <c r="A32" s="11" t="s">
        <v>224</v>
      </c>
      <c r="B32" s="98">
        <v>45327</v>
      </c>
      <c r="C32" s="11" t="s">
        <v>36</v>
      </c>
      <c r="D32" s="11" t="s">
        <v>163</v>
      </c>
      <c r="E32" s="138">
        <v>7000</v>
      </c>
      <c r="F32" s="11" t="s">
        <v>107</v>
      </c>
      <c r="G32" s="11" t="s">
        <v>164</v>
      </c>
      <c r="H32" s="11" t="s">
        <v>9</v>
      </c>
      <c r="I32" s="11" t="s">
        <v>125</v>
      </c>
      <c r="J32" s="11" t="s">
        <v>110</v>
      </c>
      <c r="K32" s="138">
        <v>7000</v>
      </c>
      <c r="L32" s="11" t="s">
        <v>111</v>
      </c>
      <c r="M32" s="11"/>
      <c r="N32" s="11"/>
    </row>
    <row r="33" spans="1:14">
      <c r="A33" s="10" t="s">
        <v>225</v>
      </c>
      <c r="B33" s="97">
        <v>45332</v>
      </c>
      <c r="C33" s="10" t="s">
        <v>40</v>
      </c>
      <c r="D33" s="10" t="s">
        <v>163</v>
      </c>
      <c r="E33" s="137">
        <v>12000</v>
      </c>
      <c r="F33" s="10" t="s">
        <v>107</v>
      </c>
      <c r="G33" s="10" t="s">
        <v>171</v>
      </c>
      <c r="H33" s="10" t="s">
        <v>172</v>
      </c>
      <c r="I33" s="10" t="s">
        <v>173</v>
      </c>
      <c r="J33" s="10" t="s">
        <v>110</v>
      </c>
      <c r="K33" s="137">
        <v>12000</v>
      </c>
      <c r="L33" s="10" t="s">
        <v>111</v>
      </c>
      <c r="M33" s="10"/>
      <c r="N33" s="10"/>
    </row>
    <row r="34" spans="1:14">
      <c r="A34" s="11" t="s">
        <v>226</v>
      </c>
      <c r="B34" s="98">
        <v>45337</v>
      </c>
      <c r="C34" s="11" t="s">
        <v>43</v>
      </c>
      <c r="D34" s="11" t="s">
        <v>163</v>
      </c>
      <c r="E34" s="138">
        <v>15000</v>
      </c>
      <c r="F34" s="11" t="s">
        <v>107</v>
      </c>
      <c r="G34" s="11" t="s">
        <v>177</v>
      </c>
      <c r="H34" s="11" t="s">
        <v>9</v>
      </c>
      <c r="I34" s="11" t="s">
        <v>131</v>
      </c>
      <c r="J34" s="11" t="s">
        <v>110</v>
      </c>
      <c r="K34" s="138">
        <v>15000</v>
      </c>
      <c r="L34" s="11" t="s">
        <v>111</v>
      </c>
      <c r="M34" s="11"/>
      <c r="N34" s="11"/>
    </row>
    <row r="35" spans="1:14">
      <c r="A35" s="10" t="s">
        <v>227</v>
      </c>
      <c r="B35" s="97">
        <v>45342</v>
      </c>
      <c r="C35" s="10" t="s">
        <v>46</v>
      </c>
      <c r="D35" s="10" t="s">
        <v>187</v>
      </c>
      <c r="E35" s="137">
        <v>25000</v>
      </c>
      <c r="F35" s="10" t="s">
        <v>107</v>
      </c>
      <c r="G35" s="10" t="s">
        <v>188</v>
      </c>
      <c r="H35" s="10" t="s">
        <v>9</v>
      </c>
      <c r="I35" s="10" t="s">
        <v>125</v>
      </c>
      <c r="J35" s="10" t="s">
        <v>110</v>
      </c>
      <c r="K35" s="137">
        <v>25000</v>
      </c>
      <c r="L35" s="10" t="s">
        <v>111</v>
      </c>
      <c r="M35" s="10"/>
      <c r="N35" s="10"/>
    </row>
    <row r="36" spans="1:14">
      <c r="A36" s="11" t="s">
        <v>228</v>
      </c>
      <c r="B36" s="98">
        <v>45350</v>
      </c>
      <c r="C36" s="11" t="s">
        <v>49</v>
      </c>
      <c r="D36" s="11" t="s">
        <v>216</v>
      </c>
      <c r="E36" s="138">
        <v>2800</v>
      </c>
      <c r="F36" s="11" t="s">
        <v>107</v>
      </c>
      <c r="G36" s="11" t="s">
        <v>217</v>
      </c>
      <c r="H36" s="11" t="s">
        <v>9</v>
      </c>
      <c r="I36" s="11" t="s">
        <v>218</v>
      </c>
      <c r="J36" s="11" t="s">
        <v>110</v>
      </c>
      <c r="K36" s="138">
        <v>2800</v>
      </c>
      <c r="L36" s="11" t="s">
        <v>111</v>
      </c>
      <c r="M36" s="11"/>
      <c r="N36" s="11"/>
    </row>
    <row r="37" spans="1:14">
      <c r="A37" s="11" t="s">
        <v>142</v>
      </c>
      <c r="B37" s="98">
        <v>45352</v>
      </c>
      <c r="C37" s="11" t="s">
        <v>6</v>
      </c>
      <c r="D37" s="11" t="s">
        <v>106</v>
      </c>
      <c r="E37" s="138">
        <v>3500</v>
      </c>
      <c r="F37" s="11" t="s">
        <v>107</v>
      </c>
      <c r="G37" s="11" t="s">
        <v>108</v>
      </c>
      <c r="H37" s="11" t="s">
        <v>9</v>
      </c>
      <c r="I37" s="11" t="s">
        <v>109</v>
      </c>
      <c r="J37" s="11" t="s">
        <v>110</v>
      </c>
      <c r="K37" s="138">
        <v>3500</v>
      </c>
      <c r="L37" s="11" t="s">
        <v>111</v>
      </c>
      <c r="M37" s="11"/>
      <c r="N37" s="11"/>
    </row>
    <row r="38" spans="1:14">
      <c r="A38" s="10" t="s">
        <v>143</v>
      </c>
      <c r="B38" s="97">
        <v>45352</v>
      </c>
      <c r="C38" s="10" t="s">
        <v>14</v>
      </c>
      <c r="D38" s="10" t="s">
        <v>106</v>
      </c>
      <c r="E38" s="137">
        <v>3200</v>
      </c>
      <c r="F38" s="10" t="s">
        <v>107</v>
      </c>
      <c r="G38" s="10" t="s">
        <v>119</v>
      </c>
      <c r="H38" s="10" t="s">
        <v>9</v>
      </c>
      <c r="I38" s="10" t="s">
        <v>120</v>
      </c>
      <c r="J38" s="10" t="s">
        <v>110</v>
      </c>
      <c r="K38" s="137">
        <v>3200</v>
      </c>
      <c r="L38" s="10" t="s">
        <v>111</v>
      </c>
      <c r="M38" s="10"/>
      <c r="N38" s="10"/>
    </row>
    <row r="39" spans="1:14">
      <c r="A39" s="11" t="s">
        <v>144</v>
      </c>
      <c r="B39" s="98">
        <v>45352</v>
      </c>
      <c r="C39" s="11" t="s">
        <v>22</v>
      </c>
      <c r="D39" s="11" t="s">
        <v>106</v>
      </c>
      <c r="E39" s="138">
        <v>3000</v>
      </c>
      <c r="F39" s="11" t="s">
        <v>107</v>
      </c>
      <c r="G39" s="11" t="s">
        <v>145</v>
      </c>
      <c r="H39" s="11" t="s">
        <v>9</v>
      </c>
      <c r="I39" s="11" t="s">
        <v>146</v>
      </c>
      <c r="J39" s="11" t="s">
        <v>110</v>
      </c>
      <c r="K39" s="138">
        <v>3000</v>
      </c>
      <c r="L39" s="11" t="s">
        <v>111</v>
      </c>
      <c r="M39" s="11"/>
      <c r="N39" s="11"/>
    </row>
    <row r="40" spans="1:14">
      <c r="A40" s="11" t="s">
        <v>148</v>
      </c>
      <c r="B40" s="98">
        <v>45352</v>
      </c>
      <c r="C40" s="11" t="s">
        <v>24</v>
      </c>
      <c r="D40" s="11" t="s">
        <v>106</v>
      </c>
      <c r="E40" s="138">
        <v>4500</v>
      </c>
      <c r="F40" s="11" t="s">
        <v>107</v>
      </c>
      <c r="G40" s="11" t="s">
        <v>149</v>
      </c>
      <c r="H40" s="11" t="s">
        <v>9</v>
      </c>
      <c r="I40" s="11" t="s">
        <v>125</v>
      </c>
      <c r="J40" s="11" t="s">
        <v>110</v>
      </c>
      <c r="K40" s="138">
        <v>4500</v>
      </c>
      <c r="L40" s="11" t="s">
        <v>111</v>
      </c>
      <c r="M40" s="11"/>
      <c r="N40" s="11"/>
    </row>
    <row r="41" spans="1:14">
      <c r="A41" s="10" t="s">
        <v>229</v>
      </c>
      <c r="B41" s="97">
        <v>45352</v>
      </c>
      <c r="C41" s="10" t="s">
        <v>24</v>
      </c>
      <c r="D41" s="10" t="s">
        <v>106</v>
      </c>
      <c r="E41" s="137">
        <v>4500</v>
      </c>
      <c r="F41" s="10" t="s">
        <v>107</v>
      </c>
      <c r="G41" s="10" t="s">
        <v>149</v>
      </c>
      <c r="H41" s="10" t="s">
        <v>9</v>
      </c>
      <c r="I41" s="10" t="s">
        <v>125</v>
      </c>
      <c r="J41" s="10" t="s">
        <v>110</v>
      </c>
      <c r="K41" s="137">
        <v>4500</v>
      </c>
      <c r="L41" s="10" t="s">
        <v>111</v>
      </c>
      <c r="M41" s="10"/>
      <c r="N41" s="10"/>
    </row>
    <row r="42" spans="1:14">
      <c r="A42" s="11" t="s">
        <v>230</v>
      </c>
      <c r="B42" s="98">
        <v>45352</v>
      </c>
      <c r="C42" s="11" t="s">
        <v>26</v>
      </c>
      <c r="D42" s="11" t="s">
        <v>106</v>
      </c>
      <c r="E42" s="138">
        <v>3300</v>
      </c>
      <c r="F42" s="11" t="s">
        <v>107</v>
      </c>
      <c r="G42" s="11" t="s">
        <v>151</v>
      </c>
      <c r="H42" s="11" t="s">
        <v>9</v>
      </c>
      <c r="I42" s="11" t="s">
        <v>109</v>
      </c>
      <c r="J42" s="11" t="s">
        <v>110</v>
      </c>
      <c r="K42" s="138">
        <v>3300</v>
      </c>
      <c r="L42" s="11" t="s">
        <v>111</v>
      </c>
      <c r="M42" s="11"/>
      <c r="N42" s="11"/>
    </row>
    <row r="43" spans="1:14">
      <c r="A43" s="10" t="s">
        <v>231</v>
      </c>
      <c r="B43" s="97">
        <v>45352</v>
      </c>
      <c r="C43" s="10" t="s">
        <v>28</v>
      </c>
      <c r="D43" s="10" t="s">
        <v>106</v>
      </c>
      <c r="E43" s="137">
        <v>5000</v>
      </c>
      <c r="F43" s="10" t="s">
        <v>107</v>
      </c>
      <c r="G43" s="10" t="s">
        <v>154</v>
      </c>
      <c r="H43" s="10" t="s">
        <v>9</v>
      </c>
      <c r="I43" s="10" t="s">
        <v>120</v>
      </c>
      <c r="J43" s="10" t="s">
        <v>110</v>
      </c>
      <c r="K43" s="137">
        <v>5000</v>
      </c>
      <c r="L43" s="10" t="s">
        <v>111</v>
      </c>
      <c r="M43" s="10"/>
      <c r="N43" s="10"/>
    </row>
    <row r="44" spans="1:14">
      <c r="A44" s="11" t="s">
        <v>232</v>
      </c>
      <c r="B44" s="98">
        <v>45352</v>
      </c>
      <c r="C44" s="11" t="s">
        <v>30</v>
      </c>
      <c r="D44" s="11" t="s">
        <v>106</v>
      </c>
      <c r="E44" s="138">
        <v>4000</v>
      </c>
      <c r="F44" s="11" t="s">
        <v>107</v>
      </c>
      <c r="G44" s="11" t="s">
        <v>158</v>
      </c>
      <c r="H44" s="11" t="s">
        <v>9</v>
      </c>
      <c r="I44" s="11" t="s">
        <v>131</v>
      </c>
      <c r="J44" s="11" t="s">
        <v>110</v>
      </c>
      <c r="K44" s="138">
        <v>4000</v>
      </c>
      <c r="L44" s="11" t="s">
        <v>111</v>
      </c>
      <c r="M44" s="11"/>
      <c r="N44" s="11"/>
    </row>
    <row r="45" spans="1:14">
      <c r="A45" s="10" t="s">
        <v>233</v>
      </c>
      <c r="B45" s="97">
        <v>45352</v>
      </c>
      <c r="C45" s="10" t="s">
        <v>36</v>
      </c>
      <c r="D45" s="10" t="s">
        <v>163</v>
      </c>
      <c r="E45" s="137">
        <v>7000</v>
      </c>
      <c r="F45" s="10" t="s">
        <v>107</v>
      </c>
      <c r="G45" s="10" t="s">
        <v>164</v>
      </c>
      <c r="H45" s="10" t="s">
        <v>9</v>
      </c>
      <c r="I45" s="10" t="s">
        <v>125</v>
      </c>
      <c r="J45" s="10" t="s">
        <v>110</v>
      </c>
      <c r="K45" s="137">
        <v>7000</v>
      </c>
      <c r="L45" s="10" t="s">
        <v>111</v>
      </c>
      <c r="M45" s="10"/>
      <c r="N45" s="10"/>
    </row>
    <row r="46" spans="1:14">
      <c r="A46" s="11" t="s">
        <v>364</v>
      </c>
      <c r="B46" s="98">
        <v>45354</v>
      </c>
      <c r="C46" s="11" t="s">
        <v>58</v>
      </c>
      <c r="D46" s="11" t="s">
        <v>216</v>
      </c>
      <c r="E46" s="138">
        <v>9500</v>
      </c>
      <c r="F46" s="11" t="s">
        <v>107</v>
      </c>
      <c r="G46" s="11" t="s">
        <v>217</v>
      </c>
      <c r="H46" s="11" t="s">
        <v>9</v>
      </c>
      <c r="I46" s="11" t="s">
        <v>218</v>
      </c>
      <c r="J46" s="11" t="s">
        <v>110</v>
      </c>
      <c r="K46" s="138">
        <v>9500</v>
      </c>
      <c r="L46" s="1" t="s">
        <v>365</v>
      </c>
      <c r="M46" s="2" t="s">
        <v>366</v>
      </c>
      <c r="N46" s="11" t="s">
        <v>367</v>
      </c>
    </row>
    <row r="47" spans="1:14">
      <c r="A47" s="10" t="s">
        <v>368</v>
      </c>
      <c r="B47" s="97">
        <v>45355</v>
      </c>
      <c r="C47" s="10" t="s">
        <v>58</v>
      </c>
      <c r="D47" s="10" t="s">
        <v>216</v>
      </c>
      <c r="E47" s="137">
        <v>9200</v>
      </c>
      <c r="F47" s="10" t="s">
        <v>107</v>
      </c>
      <c r="G47" s="10" t="s">
        <v>217</v>
      </c>
      <c r="H47" s="10" t="s">
        <v>9</v>
      </c>
      <c r="I47" s="10" t="s">
        <v>218</v>
      </c>
      <c r="J47" s="10" t="s">
        <v>110</v>
      </c>
      <c r="K47" s="137">
        <v>18700</v>
      </c>
      <c r="L47" s="1" t="s">
        <v>365</v>
      </c>
      <c r="M47" s="2" t="s">
        <v>366</v>
      </c>
      <c r="N47" s="10" t="s">
        <v>367</v>
      </c>
    </row>
    <row r="48" spans="1:14">
      <c r="A48" s="10" t="s">
        <v>147</v>
      </c>
      <c r="B48" s="97">
        <v>45356</v>
      </c>
      <c r="C48" s="10" t="s">
        <v>22</v>
      </c>
      <c r="D48" s="10" t="s">
        <v>113</v>
      </c>
      <c r="E48" s="137">
        <v>600</v>
      </c>
      <c r="F48" s="10" t="s">
        <v>107</v>
      </c>
      <c r="G48" s="10" t="s">
        <v>122</v>
      </c>
      <c r="H48" s="10" t="s">
        <v>9</v>
      </c>
      <c r="I48" s="10" t="s">
        <v>146</v>
      </c>
      <c r="J48" s="10" t="s">
        <v>115</v>
      </c>
      <c r="K48" s="137">
        <v>2400</v>
      </c>
      <c r="L48" s="10" t="s">
        <v>111</v>
      </c>
      <c r="M48" s="10"/>
      <c r="N48" s="10"/>
    </row>
    <row r="49" spans="1:14">
      <c r="A49" s="11" t="s">
        <v>234</v>
      </c>
      <c r="B49" s="98">
        <v>45356</v>
      </c>
      <c r="C49" s="11" t="s">
        <v>51</v>
      </c>
      <c r="D49" s="11" t="s">
        <v>106</v>
      </c>
      <c r="E49" s="138">
        <v>4500</v>
      </c>
      <c r="F49" s="11" t="s">
        <v>107</v>
      </c>
      <c r="G49" s="11" t="s">
        <v>193</v>
      </c>
      <c r="H49" s="11" t="s">
        <v>9</v>
      </c>
      <c r="I49" s="11" t="s">
        <v>109</v>
      </c>
      <c r="J49" s="11" t="s">
        <v>110</v>
      </c>
      <c r="K49" s="138">
        <v>4500</v>
      </c>
      <c r="L49" s="11" t="s">
        <v>111</v>
      </c>
      <c r="M49" s="11"/>
      <c r="N49" s="11"/>
    </row>
    <row r="50" spans="1:14">
      <c r="A50" s="11" t="s">
        <v>369</v>
      </c>
      <c r="B50" s="98">
        <v>45358</v>
      </c>
      <c r="C50" s="11" t="s">
        <v>58</v>
      </c>
      <c r="D50" s="11" t="s">
        <v>216</v>
      </c>
      <c r="E50" s="138">
        <v>9800</v>
      </c>
      <c r="F50" s="11" t="s">
        <v>107</v>
      </c>
      <c r="G50" s="11" t="s">
        <v>217</v>
      </c>
      <c r="H50" s="11" t="s">
        <v>9</v>
      </c>
      <c r="I50" s="11" t="s">
        <v>218</v>
      </c>
      <c r="J50" s="11" t="s">
        <v>110</v>
      </c>
      <c r="K50" s="138">
        <v>28500</v>
      </c>
      <c r="L50" s="1" t="s">
        <v>365</v>
      </c>
      <c r="M50" s="2" t="s">
        <v>366</v>
      </c>
      <c r="N50" s="11" t="s">
        <v>367</v>
      </c>
    </row>
    <row r="51" spans="1:14">
      <c r="A51" s="10" t="s">
        <v>235</v>
      </c>
      <c r="B51" s="97">
        <v>45361</v>
      </c>
      <c r="C51" s="10" t="s">
        <v>54</v>
      </c>
      <c r="D51" s="10" t="s">
        <v>163</v>
      </c>
      <c r="E51" s="137">
        <v>20000</v>
      </c>
      <c r="F51" s="10" t="s">
        <v>107</v>
      </c>
      <c r="G51" s="10" t="s">
        <v>200</v>
      </c>
      <c r="H51" s="10" t="s">
        <v>9</v>
      </c>
      <c r="I51" s="10" t="s">
        <v>109</v>
      </c>
      <c r="J51" s="10" t="s">
        <v>110</v>
      </c>
      <c r="K51" s="137">
        <v>20000</v>
      </c>
      <c r="L51" s="10" t="s">
        <v>111</v>
      </c>
      <c r="M51" s="10"/>
      <c r="N51" s="10"/>
    </row>
    <row r="52" spans="1:14">
      <c r="A52" s="11" t="s">
        <v>236</v>
      </c>
      <c r="B52" s="98">
        <v>45366</v>
      </c>
      <c r="C52" s="11" t="s">
        <v>59</v>
      </c>
      <c r="D52" s="11" t="s">
        <v>163</v>
      </c>
      <c r="E52" s="138">
        <v>50000</v>
      </c>
      <c r="F52" s="11" t="s">
        <v>107</v>
      </c>
      <c r="G52" s="11" t="s">
        <v>237</v>
      </c>
      <c r="H52" s="11" t="s">
        <v>9</v>
      </c>
      <c r="I52" s="11" t="s">
        <v>125</v>
      </c>
      <c r="J52" s="11" t="s">
        <v>110</v>
      </c>
      <c r="K52" s="138">
        <v>50000</v>
      </c>
      <c r="L52" s="11" t="s">
        <v>111</v>
      </c>
      <c r="M52" s="11"/>
      <c r="N52" s="11"/>
    </row>
    <row r="53" spans="1:14">
      <c r="A53" s="10" t="s">
        <v>238</v>
      </c>
      <c r="B53" s="97">
        <v>45371</v>
      </c>
      <c r="C53" s="10" t="s">
        <v>63</v>
      </c>
      <c r="D53" s="10" t="s">
        <v>106</v>
      </c>
      <c r="E53" s="137">
        <v>30000</v>
      </c>
      <c r="F53" s="10" t="s">
        <v>107</v>
      </c>
      <c r="G53" s="10" t="s">
        <v>239</v>
      </c>
      <c r="H53" s="10" t="s">
        <v>9</v>
      </c>
      <c r="I53" s="10" t="s">
        <v>109</v>
      </c>
      <c r="J53" s="10" t="s">
        <v>110</v>
      </c>
      <c r="K53" s="137">
        <v>30000</v>
      </c>
      <c r="L53" s="10" t="s">
        <v>111</v>
      </c>
      <c r="M53" s="10"/>
      <c r="N53" s="10"/>
    </row>
    <row r="54" spans="1:14">
      <c r="A54" s="11" t="s">
        <v>240</v>
      </c>
      <c r="B54" s="98">
        <v>45376</v>
      </c>
      <c r="C54" s="11" t="s">
        <v>66</v>
      </c>
      <c r="D54" s="11" t="s">
        <v>106</v>
      </c>
      <c r="E54" s="138">
        <v>15000</v>
      </c>
      <c r="F54" s="11" t="s">
        <v>107</v>
      </c>
      <c r="G54" s="11" t="s">
        <v>241</v>
      </c>
      <c r="H54" s="11" t="s">
        <v>9</v>
      </c>
      <c r="I54" s="11" t="s">
        <v>131</v>
      </c>
      <c r="J54" s="11" t="s">
        <v>110</v>
      </c>
      <c r="K54" s="138">
        <v>15000</v>
      </c>
      <c r="L54" s="11" t="s">
        <v>111</v>
      </c>
      <c r="M54" s="11"/>
      <c r="N54" s="11"/>
    </row>
    <row r="55" spans="1:14">
      <c r="A55" s="10" t="s">
        <v>150</v>
      </c>
      <c r="B55" s="97">
        <v>45383</v>
      </c>
      <c r="C55" s="10" t="s">
        <v>26</v>
      </c>
      <c r="D55" s="10" t="s">
        <v>106</v>
      </c>
      <c r="E55" s="137">
        <v>3300</v>
      </c>
      <c r="F55" s="10" t="s">
        <v>107</v>
      </c>
      <c r="G55" s="10" t="s">
        <v>151</v>
      </c>
      <c r="H55" s="10" t="s">
        <v>9</v>
      </c>
      <c r="I55" s="10" t="s">
        <v>109</v>
      </c>
      <c r="J55" s="10" t="s">
        <v>110</v>
      </c>
      <c r="K55" s="137">
        <v>3300</v>
      </c>
      <c r="L55" s="10" t="s">
        <v>111</v>
      </c>
      <c r="M55" s="10"/>
      <c r="N55" s="10"/>
    </row>
    <row r="56" spans="1:14">
      <c r="A56" s="10" t="s">
        <v>153</v>
      </c>
      <c r="B56" s="97">
        <v>45383</v>
      </c>
      <c r="C56" s="10" t="s">
        <v>28</v>
      </c>
      <c r="D56" s="10" t="s">
        <v>106</v>
      </c>
      <c r="E56" s="137">
        <v>5000</v>
      </c>
      <c r="F56" s="10" t="s">
        <v>107</v>
      </c>
      <c r="G56" s="10" t="s">
        <v>154</v>
      </c>
      <c r="H56" s="10" t="s">
        <v>9</v>
      </c>
      <c r="I56" s="10" t="s">
        <v>120</v>
      </c>
      <c r="J56" s="10" t="s">
        <v>110</v>
      </c>
      <c r="K56" s="137">
        <v>5000</v>
      </c>
      <c r="L56" s="10" t="s">
        <v>111</v>
      </c>
      <c r="M56" s="10"/>
      <c r="N56" s="10"/>
    </row>
    <row r="57" spans="1:14">
      <c r="A57" s="10" t="s">
        <v>157</v>
      </c>
      <c r="B57" s="97">
        <v>45383</v>
      </c>
      <c r="C57" s="10" t="s">
        <v>30</v>
      </c>
      <c r="D57" s="10" t="s">
        <v>106</v>
      </c>
      <c r="E57" s="137">
        <v>4000</v>
      </c>
      <c r="F57" s="10" t="s">
        <v>107</v>
      </c>
      <c r="G57" s="10" t="s">
        <v>158</v>
      </c>
      <c r="H57" s="10" t="s">
        <v>9</v>
      </c>
      <c r="I57" s="10" t="s">
        <v>131</v>
      </c>
      <c r="J57" s="10" t="s">
        <v>110</v>
      </c>
      <c r="K57" s="137">
        <v>4000</v>
      </c>
      <c r="L57" s="10" t="s">
        <v>111</v>
      </c>
      <c r="M57" s="10"/>
      <c r="N57" s="10"/>
    </row>
    <row r="58" spans="1:14">
      <c r="A58" s="10" t="s">
        <v>242</v>
      </c>
      <c r="B58" s="97">
        <v>45383</v>
      </c>
      <c r="C58" s="10" t="s">
        <v>6</v>
      </c>
      <c r="D58" s="10" t="s">
        <v>106</v>
      </c>
      <c r="E58" s="137">
        <v>3500</v>
      </c>
      <c r="F58" s="10" t="s">
        <v>107</v>
      </c>
      <c r="G58" s="10" t="s">
        <v>108</v>
      </c>
      <c r="H58" s="10" t="s">
        <v>9</v>
      </c>
      <c r="I58" s="10" t="s">
        <v>109</v>
      </c>
      <c r="J58" s="10" t="s">
        <v>110</v>
      </c>
      <c r="K58" s="137">
        <v>3500</v>
      </c>
      <c r="L58" s="10" t="s">
        <v>111</v>
      </c>
      <c r="M58" s="10"/>
      <c r="N58" s="10"/>
    </row>
    <row r="59" spans="1:14">
      <c r="A59" s="11" t="s">
        <v>243</v>
      </c>
      <c r="B59" s="98">
        <v>45383</v>
      </c>
      <c r="C59" s="11" t="s">
        <v>14</v>
      </c>
      <c r="D59" s="11" t="s">
        <v>106</v>
      </c>
      <c r="E59" s="138">
        <v>3200</v>
      </c>
      <c r="F59" s="11" t="s">
        <v>107</v>
      </c>
      <c r="G59" s="11" t="s">
        <v>119</v>
      </c>
      <c r="H59" s="11" t="s">
        <v>9</v>
      </c>
      <c r="I59" s="11" t="s">
        <v>120</v>
      </c>
      <c r="J59" s="11" t="s">
        <v>110</v>
      </c>
      <c r="K59" s="138">
        <v>3200</v>
      </c>
      <c r="L59" s="11" t="s">
        <v>111</v>
      </c>
      <c r="M59" s="11"/>
      <c r="N59" s="11"/>
    </row>
    <row r="60" spans="1:14">
      <c r="A60" s="10" t="s">
        <v>244</v>
      </c>
      <c r="B60" s="97">
        <v>45383</v>
      </c>
      <c r="C60" s="10" t="s">
        <v>16</v>
      </c>
      <c r="D60" s="10" t="s">
        <v>106</v>
      </c>
      <c r="E60" s="137">
        <v>5500</v>
      </c>
      <c r="F60" s="10" t="s">
        <v>107</v>
      </c>
      <c r="G60" s="10" t="s">
        <v>124</v>
      </c>
      <c r="H60" s="10" t="s">
        <v>9</v>
      </c>
      <c r="I60" s="10" t="s">
        <v>125</v>
      </c>
      <c r="J60" s="10" t="s">
        <v>110</v>
      </c>
      <c r="K60" s="137">
        <v>5500</v>
      </c>
      <c r="L60" s="10" t="s">
        <v>111</v>
      </c>
      <c r="M60" s="10"/>
      <c r="N60" s="10"/>
    </row>
    <row r="61" spans="1:14">
      <c r="A61" s="11" t="s">
        <v>245</v>
      </c>
      <c r="B61" s="98">
        <v>45383</v>
      </c>
      <c r="C61" s="11" t="s">
        <v>20</v>
      </c>
      <c r="D61" s="11" t="s">
        <v>106</v>
      </c>
      <c r="E61" s="138">
        <v>3800</v>
      </c>
      <c r="F61" s="11" t="s">
        <v>107</v>
      </c>
      <c r="G61" s="11" t="s">
        <v>135</v>
      </c>
      <c r="H61" s="11" t="s">
        <v>9</v>
      </c>
      <c r="I61" s="11" t="s">
        <v>136</v>
      </c>
      <c r="J61" s="11" t="s">
        <v>110</v>
      </c>
      <c r="K61" s="138">
        <v>3800</v>
      </c>
      <c r="L61" s="11" t="s">
        <v>111</v>
      </c>
      <c r="M61" s="11"/>
      <c r="N61" s="11"/>
    </row>
    <row r="62" spans="1:14">
      <c r="A62" s="10" t="s">
        <v>246</v>
      </c>
      <c r="B62" s="97">
        <v>45383</v>
      </c>
      <c r="C62" s="10" t="s">
        <v>22</v>
      </c>
      <c r="D62" s="10" t="s">
        <v>106</v>
      </c>
      <c r="E62" s="137">
        <v>3000</v>
      </c>
      <c r="F62" s="10" t="s">
        <v>107</v>
      </c>
      <c r="G62" s="10" t="s">
        <v>145</v>
      </c>
      <c r="H62" s="10" t="s">
        <v>9</v>
      </c>
      <c r="I62" s="10" t="s">
        <v>146</v>
      </c>
      <c r="J62" s="10" t="s">
        <v>110</v>
      </c>
      <c r="K62" s="137">
        <v>3000</v>
      </c>
      <c r="L62" s="10" t="s">
        <v>111</v>
      </c>
      <c r="M62" s="10"/>
      <c r="N62" s="10"/>
    </row>
    <row r="63" spans="1:14">
      <c r="A63" s="11" t="s">
        <v>152</v>
      </c>
      <c r="B63" s="98">
        <v>45387</v>
      </c>
      <c r="C63" s="11" t="s">
        <v>26</v>
      </c>
      <c r="D63" s="11" t="s">
        <v>113</v>
      </c>
      <c r="E63" s="138">
        <v>700</v>
      </c>
      <c r="F63" s="11" t="s">
        <v>107</v>
      </c>
      <c r="G63" s="11" t="s">
        <v>122</v>
      </c>
      <c r="H63" s="11" t="s">
        <v>9</v>
      </c>
      <c r="I63" s="11" t="s">
        <v>109</v>
      </c>
      <c r="J63" s="11" t="s">
        <v>115</v>
      </c>
      <c r="K63" s="138">
        <v>2600</v>
      </c>
      <c r="L63" s="11" t="s">
        <v>111</v>
      </c>
      <c r="M63" s="11"/>
      <c r="N63" s="11"/>
    </row>
    <row r="64" spans="1:14">
      <c r="A64" s="11" t="s">
        <v>247</v>
      </c>
      <c r="B64" s="98">
        <v>45387</v>
      </c>
      <c r="C64" s="11" t="s">
        <v>36</v>
      </c>
      <c r="D64" s="11" t="s">
        <v>166</v>
      </c>
      <c r="E64" s="138">
        <v>2000</v>
      </c>
      <c r="F64" s="11" t="s">
        <v>107</v>
      </c>
      <c r="G64" s="11" t="s">
        <v>195</v>
      </c>
      <c r="H64" s="11" t="s">
        <v>168</v>
      </c>
      <c r="I64" s="11" t="s">
        <v>169</v>
      </c>
      <c r="J64" s="11" t="s">
        <v>115</v>
      </c>
      <c r="K64" s="138">
        <v>5000</v>
      </c>
      <c r="L64" s="11" t="s">
        <v>111</v>
      </c>
      <c r="M64" s="11"/>
      <c r="N64" s="11"/>
    </row>
    <row r="65" spans="1:14">
      <c r="A65" s="11" t="s">
        <v>155</v>
      </c>
      <c r="B65" s="98">
        <v>45388</v>
      </c>
      <c r="C65" s="11" t="s">
        <v>28</v>
      </c>
      <c r="D65" s="11" t="s">
        <v>127</v>
      </c>
      <c r="E65" s="138">
        <v>1100</v>
      </c>
      <c r="F65" s="11" t="s">
        <v>107</v>
      </c>
      <c r="G65" s="11" t="s">
        <v>156</v>
      </c>
      <c r="H65" s="11" t="s">
        <v>9</v>
      </c>
      <c r="I65" s="11" t="s">
        <v>120</v>
      </c>
      <c r="J65" s="11" t="s">
        <v>115</v>
      </c>
      <c r="K65" s="138">
        <v>3900</v>
      </c>
      <c r="L65" s="11" t="s">
        <v>111</v>
      </c>
      <c r="M65" s="11"/>
      <c r="N65" s="11"/>
    </row>
    <row r="66" spans="1:14">
      <c r="A66" s="10" t="s">
        <v>248</v>
      </c>
      <c r="B66" s="97">
        <v>45392</v>
      </c>
      <c r="C66" s="10" t="s">
        <v>40</v>
      </c>
      <c r="D66" s="10" t="s">
        <v>113</v>
      </c>
      <c r="E66" s="137">
        <v>3000</v>
      </c>
      <c r="F66" s="10" t="s">
        <v>107</v>
      </c>
      <c r="G66" s="10" t="s">
        <v>249</v>
      </c>
      <c r="H66" s="10" t="s">
        <v>9</v>
      </c>
      <c r="I66" s="10" t="s">
        <v>109</v>
      </c>
      <c r="J66" s="10" t="s">
        <v>115</v>
      </c>
      <c r="K66" s="137">
        <v>9000</v>
      </c>
      <c r="L66" s="10" t="s">
        <v>111</v>
      </c>
      <c r="M66" s="10"/>
      <c r="N66" s="10"/>
    </row>
    <row r="67" spans="1:14">
      <c r="A67" s="10" t="s">
        <v>370</v>
      </c>
      <c r="B67" s="97">
        <v>45397</v>
      </c>
      <c r="C67" s="10" t="s">
        <v>24</v>
      </c>
      <c r="D67" s="10" t="s">
        <v>371</v>
      </c>
      <c r="E67" s="137">
        <v>45000</v>
      </c>
      <c r="F67" s="10" t="s">
        <v>107</v>
      </c>
      <c r="G67" s="10" t="s">
        <v>372</v>
      </c>
      <c r="H67" s="10" t="s">
        <v>373</v>
      </c>
      <c r="I67" s="10" t="s">
        <v>374</v>
      </c>
      <c r="J67" s="10" t="s">
        <v>110</v>
      </c>
      <c r="K67" s="137">
        <v>45000</v>
      </c>
      <c r="L67" s="1" t="s">
        <v>365</v>
      </c>
      <c r="M67" s="3" t="s">
        <v>375</v>
      </c>
      <c r="N67" s="10" t="s">
        <v>376</v>
      </c>
    </row>
    <row r="68" spans="1:14">
      <c r="A68" s="11" t="s">
        <v>250</v>
      </c>
      <c r="B68" s="98">
        <v>45397</v>
      </c>
      <c r="C68" s="11" t="s">
        <v>43</v>
      </c>
      <c r="D68" s="11" t="s">
        <v>113</v>
      </c>
      <c r="E68" s="138">
        <v>1200</v>
      </c>
      <c r="F68" s="11" t="s">
        <v>107</v>
      </c>
      <c r="G68" s="11" t="s">
        <v>251</v>
      </c>
      <c r="H68" s="11" t="s">
        <v>9</v>
      </c>
      <c r="I68" s="11" t="s">
        <v>131</v>
      </c>
      <c r="J68" s="11" t="s">
        <v>115</v>
      </c>
      <c r="K68" s="138">
        <v>13800</v>
      </c>
      <c r="L68" s="11" t="s">
        <v>111</v>
      </c>
      <c r="M68" s="11"/>
      <c r="N68" s="11"/>
    </row>
    <row r="69" spans="1:14">
      <c r="A69" s="11" t="s">
        <v>377</v>
      </c>
      <c r="B69" s="98">
        <v>45398</v>
      </c>
      <c r="C69" s="11" t="s">
        <v>24</v>
      </c>
      <c r="D69" s="11" t="s">
        <v>378</v>
      </c>
      <c r="E69" s="138">
        <v>44500</v>
      </c>
      <c r="F69" s="11" t="s">
        <v>107</v>
      </c>
      <c r="G69" s="11" t="s">
        <v>379</v>
      </c>
      <c r="H69" s="11" t="s">
        <v>380</v>
      </c>
      <c r="I69" s="11" t="s">
        <v>381</v>
      </c>
      <c r="J69" s="11" t="s">
        <v>115</v>
      </c>
      <c r="K69" s="138">
        <v>500</v>
      </c>
      <c r="L69" s="1" t="s">
        <v>365</v>
      </c>
      <c r="M69" s="3" t="s">
        <v>375</v>
      </c>
      <c r="N69" s="11" t="s">
        <v>376</v>
      </c>
    </row>
    <row r="70" spans="1:14">
      <c r="A70" s="10" t="s">
        <v>252</v>
      </c>
      <c r="B70" s="97">
        <v>45402</v>
      </c>
      <c r="C70" s="10" t="s">
        <v>46</v>
      </c>
      <c r="D70" s="10" t="s">
        <v>127</v>
      </c>
      <c r="E70" s="137">
        <v>8000</v>
      </c>
      <c r="F70" s="10" t="s">
        <v>107</v>
      </c>
      <c r="G70" s="10" t="s">
        <v>146</v>
      </c>
      <c r="H70" s="10" t="s">
        <v>9</v>
      </c>
      <c r="I70" s="10" t="s">
        <v>125</v>
      </c>
      <c r="J70" s="10" t="s">
        <v>115</v>
      </c>
      <c r="K70" s="137">
        <v>17000</v>
      </c>
      <c r="L70" s="10" t="s">
        <v>111</v>
      </c>
      <c r="M70" s="10"/>
      <c r="N70" s="10"/>
    </row>
    <row r="71" spans="1:14">
      <c r="A71" s="11" t="s">
        <v>253</v>
      </c>
      <c r="B71" s="98">
        <v>45410</v>
      </c>
      <c r="C71" s="11" t="s">
        <v>49</v>
      </c>
      <c r="D71" s="11" t="s">
        <v>216</v>
      </c>
      <c r="E71" s="138">
        <v>3500</v>
      </c>
      <c r="F71" s="11" t="s">
        <v>107</v>
      </c>
      <c r="G71" s="11" t="s">
        <v>217</v>
      </c>
      <c r="H71" s="11" t="s">
        <v>9</v>
      </c>
      <c r="I71" s="11" t="s">
        <v>218</v>
      </c>
      <c r="J71" s="11" t="s">
        <v>110</v>
      </c>
      <c r="K71" s="138">
        <v>3500</v>
      </c>
      <c r="L71" s="11" t="s">
        <v>111</v>
      </c>
      <c r="M71" s="11"/>
      <c r="N71" s="11"/>
    </row>
    <row r="72" spans="1:14">
      <c r="A72" s="11" t="s">
        <v>159</v>
      </c>
      <c r="B72" s="98">
        <v>45413</v>
      </c>
      <c r="C72" s="11" t="s">
        <v>6</v>
      </c>
      <c r="D72" s="11" t="s">
        <v>106</v>
      </c>
      <c r="E72" s="138">
        <v>3500</v>
      </c>
      <c r="F72" s="11" t="s">
        <v>107</v>
      </c>
      <c r="G72" s="11" t="s">
        <v>108</v>
      </c>
      <c r="H72" s="11" t="s">
        <v>9</v>
      </c>
      <c r="I72" s="11" t="s">
        <v>109</v>
      </c>
      <c r="J72" s="11" t="s">
        <v>110</v>
      </c>
      <c r="K72" s="138">
        <v>3500</v>
      </c>
      <c r="L72" s="11" t="s">
        <v>111</v>
      </c>
      <c r="M72" s="11"/>
      <c r="N72" s="11"/>
    </row>
    <row r="73" spans="1:14">
      <c r="A73" s="10" t="s">
        <v>160</v>
      </c>
      <c r="B73" s="97">
        <v>45413</v>
      </c>
      <c r="C73" s="10" t="s">
        <v>14</v>
      </c>
      <c r="D73" s="10" t="s">
        <v>106</v>
      </c>
      <c r="E73" s="137">
        <v>3200</v>
      </c>
      <c r="F73" s="10" t="s">
        <v>107</v>
      </c>
      <c r="G73" s="10" t="s">
        <v>119</v>
      </c>
      <c r="H73" s="10" t="s">
        <v>9</v>
      </c>
      <c r="I73" s="10" t="s">
        <v>120</v>
      </c>
      <c r="J73" s="10" t="s">
        <v>110</v>
      </c>
      <c r="K73" s="137">
        <v>3200</v>
      </c>
      <c r="L73" s="10" t="s">
        <v>111</v>
      </c>
      <c r="M73" s="10"/>
      <c r="N73" s="10"/>
    </row>
    <row r="74" spans="1:14">
      <c r="A74" s="11" t="s">
        <v>161</v>
      </c>
      <c r="B74" s="98">
        <v>45413</v>
      </c>
      <c r="C74" s="11" t="s">
        <v>16</v>
      </c>
      <c r="D74" s="11" t="s">
        <v>106</v>
      </c>
      <c r="E74" s="138">
        <v>5500</v>
      </c>
      <c r="F74" s="11" t="s">
        <v>107</v>
      </c>
      <c r="G74" s="11" t="s">
        <v>124</v>
      </c>
      <c r="H74" s="11" t="s">
        <v>9</v>
      </c>
      <c r="I74" s="11" t="s">
        <v>125</v>
      </c>
      <c r="J74" s="11" t="s">
        <v>110</v>
      </c>
      <c r="K74" s="138">
        <v>5500</v>
      </c>
      <c r="L74" s="11" t="s">
        <v>111</v>
      </c>
      <c r="M74" s="11"/>
      <c r="N74" s="11"/>
    </row>
    <row r="75" spans="1:14">
      <c r="A75" s="10" t="s">
        <v>162</v>
      </c>
      <c r="B75" s="97">
        <v>45413</v>
      </c>
      <c r="C75" s="10" t="s">
        <v>36</v>
      </c>
      <c r="D75" s="10" t="s">
        <v>163</v>
      </c>
      <c r="E75" s="137">
        <v>7000</v>
      </c>
      <c r="F75" s="10" t="s">
        <v>107</v>
      </c>
      <c r="G75" s="10" t="s">
        <v>164</v>
      </c>
      <c r="H75" s="10" t="s">
        <v>9</v>
      </c>
      <c r="I75" s="10" t="s">
        <v>125</v>
      </c>
      <c r="J75" s="10" t="s">
        <v>110</v>
      </c>
      <c r="K75" s="137">
        <v>7000</v>
      </c>
      <c r="L75" s="10" t="s">
        <v>111</v>
      </c>
      <c r="M75" s="10"/>
      <c r="N75" s="10"/>
    </row>
    <row r="76" spans="1:14">
      <c r="A76" s="10" t="s">
        <v>170</v>
      </c>
      <c r="B76" s="97">
        <v>45413</v>
      </c>
      <c r="C76" s="10" t="s">
        <v>40</v>
      </c>
      <c r="D76" s="10" t="s">
        <v>163</v>
      </c>
      <c r="E76" s="137">
        <v>12000</v>
      </c>
      <c r="F76" s="10" t="s">
        <v>107</v>
      </c>
      <c r="G76" s="10" t="s">
        <v>171</v>
      </c>
      <c r="H76" s="10" t="s">
        <v>172</v>
      </c>
      <c r="I76" s="10" t="s">
        <v>173</v>
      </c>
      <c r="J76" s="10" t="s">
        <v>110</v>
      </c>
      <c r="K76" s="137">
        <v>12000</v>
      </c>
      <c r="L76" s="10" t="s">
        <v>111</v>
      </c>
      <c r="M76" s="10"/>
      <c r="N76" s="10"/>
    </row>
    <row r="77" spans="1:14">
      <c r="A77" s="10" t="s">
        <v>254</v>
      </c>
      <c r="B77" s="97">
        <v>45413</v>
      </c>
      <c r="C77" s="10" t="s">
        <v>18</v>
      </c>
      <c r="D77" s="10" t="s">
        <v>106</v>
      </c>
      <c r="E77" s="137">
        <v>6000</v>
      </c>
      <c r="F77" s="10" t="s">
        <v>107</v>
      </c>
      <c r="G77" s="10" t="s">
        <v>130</v>
      </c>
      <c r="H77" s="10" t="s">
        <v>9</v>
      </c>
      <c r="I77" s="10" t="s">
        <v>131</v>
      </c>
      <c r="J77" s="10" t="s">
        <v>110</v>
      </c>
      <c r="K77" s="137">
        <v>6000</v>
      </c>
      <c r="L77" s="10" t="s">
        <v>111</v>
      </c>
      <c r="M77" s="10"/>
      <c r="N77" s="10"/>
    </row>
    <row r="78" spans="1:14">
      <c r="A78" s="11" t="s">
        <v>255</v>
      </c>
      <c r="B78" s="98">
        <v>45413</v>
      </c>
      <c r="C78" s="11" t="s">
        <v>20</v>
      </c>
      <c r="D78" s="11" t="s">
        <v>106</v>
      </c>
      <c r="E78" s="138">
        <v>3800</v>
      </c>
      <c r="F78" s="11" t="s">
        <v>107</v>
      </c>
      <c r="G78" s="11" t="s">
        <v>135</v>
      </c>
      <c r="H78" s="11" t="s">
        <v>9</v>
      </c>
      <c r="I78" s="11" t="s">
        <v>136</v>
      </c>
      <c r="J78" s="11" t="s">
        <v>110</v>
      </c>
      <c r="K78" s="138">
        <v>3800</v>
      </c>
      <c r="L78" s="11" t="s">
        <v>111</v>
      </c>
      <c r="M78" s="11"/>
      <c r="N78" s="11"/>
    </row>
    <row r="79" spans="1:14">
      <c r="A79" s="10" t="s">
        <v>256</v>
      </c>
      <c r="B79" s="97">
        <v>45413</v>
      </c>
      <c r="C79" s="10" t="s">
        <v>22</v>
      </c>
      <c r="D79" s="10" t="s">
        <v>106</v>
      </c>
      <c r="E79" s="137">
        <v>3000</v>
      </c>
      <c r="F79" s="10" t="s">
        <v>107</v>
      </c>
      <c r="G79" s="10" t="s">
        <v>145</v>
      </c>
      <c r="H79" s="10" t="s">
        <v>9</v>
      </c>
      <c r="I79" s="10" t="s">
        <v>146</v>
      </c>
      <c r="J79" s="10" t="s">
        <v>110</v>
      </c>
      <c r="K79" s="137">
        <v>3000</v>
      </c>
      <c r="L79" s="10" t="s">
        <v>111</v>
      </c>
      <c r="M79" s="10"/>
      <c r="N79" s="10"/>
    </row>
    <row r="80" spans="1:14">
      <c r="A80" s="11" t="s">
        <v>257</v>
      </c>
      <c r="B80" s="98">
        <v>45413</v>
      </c>
      <c r="C80" s="11" t="s">
        <v>24</v>
      </c>
      <c r="D80" s="11" t="s">
        <v>106</v>
      </c>
      <c r="E80" s="138">
        <v>4500</v>
      </c>
      <c r="F80" s="11" t="s">
        <v>107</v>
      </c>
      <c r="G80" s="11" t="s">
        <v>149</v>
      </c>
      <c r="H80" s="11" t="s">
        <v>9</v>
      </c>
      <c r="I80" s="11" t="s">
        <v>125</v>
      </c>
      <c r="J80" s="11" t="s">
        <v>110</v>
      </c>
      <c r="K80" s="138">
        <v>4500</v>
      </c>
      <c r="L80" s="11" t="s">
        <v>111</v>
      </c>
      <c r="M80" s="11"/>
      <c r="N80" s="11"/>
    </row>
    <row r="81" spans="1:14">
      <c r="A81" s="10" t="s">
        <v>258</v>
      </c>
      <c r="B81" s="97">
        <v>45413</v>
      </c>
      <c r="C81" s="10" t="s">
        <v>26</v>
      </c>
      <c r="D81" s="10" t="s">
        <v>106</v>
      </c>
      <c r="E81" s="137">
        <v>3300</v>
      </c>
      <c r="F81" s="10" t="s">
        <v>107</v>
      </c>
      <c r="G81" s="10" t="s">
        <v>151</v>
      </c>
      <c r="H81" s="10" t="s">
        <v>9</v>
      </c>
      <c r="I81" s="10" t="s">
        <v>109</v>
      </c>
      <c r="J81" s="10" t="s">
        <v>110</v>
      </c>
      <c r="K81" s="137">
        <v>3300</v>
      </c>
      <c r="L81" s="10" t="s">
        <v>111</v>
      </c>
      <c r="M81" s="10"/>
      <c r="N81" s="10"/>
    </row>
    <row r="82" spans="1:14">
      <c r="A82" s="11" t="s">
        <v>259</v>
      </c>
      <c r="B82" s="98">
        <v>45417</v>
      </c>
      <c r="C82" s="11" t="s">
        <v>51</v>
      </c>
      <c r="D82" s="11" t="s">
        <v>106</v>
      </c>
      <c r="E82" s="138">
        <v>4500</v>
      </c>
      <c r="F82" s="11" t="s">
        <v>107</v>
      </c>
      <c r="G82" s="11" t="s">
        <v>193</v>
      </c>
      <c r="H82" s="11" t="s">
        <v>9</v>
      </c>
      <c r="I82" s="11" t="s">
        <v>109</v>
      </c>
      <c r="J82" s="11" t="s">
        <v>110</v>
      </c>
      <c r="K82" s="138">
        <v>4500</v>
      </c>
      <c r="L82" s="11" t="s">
        <v>111</v>
      </c>
      <c r="M82" s="11"/>
      <c r="N82" s="11"/>
    </row>
    <row r="83" spans="1:14">
      <c r="A83" s="11" t="s">
        <v>165</v>
      </c>
      <c r="B83" s="98">
        <v>45422</v>
      </c>
      <c r="C83" s="11" t="s">
        <v>36</v>
      </c>
      <c r="D83" s="11" t="s">
        <v>166</v>
      </c>
      <c r="E83" s="138">
        <v>2000</v>
      </c>
      <c r="F83" s="11" t="s">
        <v>107</v>
      </c>
      <c r="G83" s="11" t="s">
        <v>167</v>
      </c>
      <c r="H83" s="11" t="s">
        <v>168</v>
      </c>
      <c r="I83" s="11" t="s">
        <v>169</v>
      </c>
      <c r="J83" s="11" t="s">
        <v>115</v>
      </c>
      <c r="K83" s="138">
        <v>5000</v>
      </c>
      <c r="L83" s="11" t="s">
        <v>111</v>
      </c>
      <c r="M83" s="11"/>
      <c r="N83" s="11"/>
    </row>
    <row r="84" spans="1:14">
      <c r="A84" s="10" t="s">
        <v>260</v>
      </c>
      <c r="B84" s="97">
        <v>45422</v>
      </c>
      <c r="C84" s="10" t="s">
        <v>54</v>
      </c>
      <c r="D84" s="10" t="s">
        <v>163</v>
      </c>
      <c r="E84" s="137">
        <v>20000</v>
      </c>
      <c r="F84" s="10" t="s">
        <v>107</v>
      </c>
      <c r="G84" s="10" t="s">
        <v>200</v>
      </c>
      <c r="H84" s="10" t="s">
        <v>9</v>
      </c>
      <c r="I84" s="10" t="s">
        <v>109</v>
      </c>
      <c r="J84" s="10" t="s">
        <v>110</v>
      </c>
      <c r="K84" s="137">
        <v>20000</v>
      </c>
      <c r="L84" s="10" t="s">
        <v>111</v>
      </c>
      <c r="M84" s="10"/>
      <c r="N84" s="10"/>
    </row>
    <row r="85" spans="1:14">
      <c r="A85" s="11" t="s">
        <v>174</v>
      </c>
      <c r="B85" s="98">
        <v>45427</v>
      </c>
      <c r="C85" s="11" t="s">
        <v>40</v>
      </c>
      <c r="D85" s="11" t="s">
        <v>113</v>
      </c>
      <c r="E85" s="138">
        <v>3000</v>
      </c>
      <c r="F85" s="11" t="s">
        <v>107</v>
      </c>
      <c r="G85" s="11" t="s">
        <v>175</v>
      </c>
      <c r="H85" s="11" t="s">
        <v>9</v>
      </c>
      <c r="I85" s="11" t="s">
        <v>109</v>
      </c>
      <c r="J85" s="11" t="s">
        <v>115</v>
      </c>
      <c r="K85" s="138">
        <v>9000</v>
      </c>
      <c r="L85" s="11" t="s">
        <v>111</v>
      </c>
      <c r="M85" s="11"/>
      <c r="N85" s="11"/>
    </row>
    <row r="86" spans="1:14">
      <c r="A86" s="11" t="s">
        <v>261</v>
      </c>
      <c r="B86" s="98">
        <v>45427</v>
      </c>
      <c r="C86" s="11" t="s">
        <v>59</v>
      </c>
      <c r="D86" s="11" t="s">
        <v>187</v>
      </c>
      <c r="E86" s="138">
        <v>50000</v>
      </c>
      <c r="F86" s="11" t="s">
        <v>107</v>
      </c>
      <c r="G86" s="11" t="s">
        <v>188</v>
      </c>
      <c r="H86" s="11" t="s">
        <v>9</v>
      </c>
      <c r="I86" s="11" t="s">
        <v>125</v>
      </c>
      <c r="J86" s="11" t="s">
        <v>110</v>
      </c>
      <c r="K86" s="138">
        <v>50000</v>
      </c>
      <c r="L86" s="11" t="s">
        <v>111</v>
      </c>
      <c r="M86" s="11"/>
      <c r="N86" s="11"/>
    </row>
    <row r="87" spans="1:14">
      <c r="A87" s="10" t="s">
        <v>262</v>
      </c>
      <c r="B87" s="97">
        <v>45432</v>
      </c>
      <c r="C87" s="10" t="s">
        <v>63</v>
      </c>
      <c r="D87" s="10" t="s">
        <v>263</v>
      </c>
      <c r="E87" s="137">
        <v>10000</v>
      </c>
      <c r="F87" s="10" t="s">
        <v>107</v>
      </c>
      <c r="G87" s="10" t="s">
        <v>264</v>
      </c>
      <c r="H87" s="10" t="s">
        <v>9</v>
      </c>
      <c r="I87" s="10" t="s">
        <v>109</v>
      </c>
      <c r="J87" s="10" t="s">
        <v>110</v>
      </c>
      <c r="K87" s="137">
        <v>10000</v>
      </c>
      <c r="L87" s="10" t="s">
        <v>111</v>
      </c>
      <c r="M87" s="10"/>
      <c r="N87" s="10"/>
    </row>
    <row r="88" spans="1:14">
      <c r="A88" s="10" t="s">
        <v>382</v>
      </c>
      <c r="B88" s="97">
        <v>45434</v>
      </c>
      <c r="C88" s="10" t="s">
        <v>40</v>
      </c>
      <c r="D88" s="10" t="s">
        <v>383</v>
      </c>
      <c r="E88" s="137">
        <v>28000</v>
      </c>
      <c r="F88" s="10" t="s">
        <v>107</v>
      </c>
      <c r="G88" s="10" t="s">
        <v>384</v>
      </c>
      <c r="H88" s="10" t="s">
        <v>385</v>
      </c>
      <c r="I88" s="10" t="s">
        <v>386</v>
      </c>
      <c r="J88" s="10" t="s">
        <v>115</v>
      </c>
      <c r="K88" s="137">
        <v>5000</v>
      </c>
      <c r="L88" s="1" t="s">
        <v>365</v>
      </c>
      <c r="M88" s="4" t="s">
        <v>387</v>
      </c>
      <c r="N88" s="10" t="s">
        <v>388</v>
      </c>
    </row>
    <row r="89" spans="1:14">
      <c r="A89" s="11" t="s">
        <v>265</v>
      </c>
      <c r="B89" s="98">
        <v>45437</v>
      </c>
      <c r="C89" s="11" t="s">
        <v>66</v>
      </c>
      <c r="D89" s="11" t="s">
        <v>106</v>
      </c>
      <c r="E89" s="138">
        <v>15000</v>
      </c>
      <c r="F89" s="11" t="s">
        <v>107</v>
      </c>
      <c r="G89" s="11" t="s">
        <v>241</v>
      </c>
      <c r="H89" s="11" t="s">
        <v>9</v>
      </c>
      <c r="I89" s="11" t="s">
        <v>131</v>
      </c>
      <c r="J89" s="11" t="s">
        <v>110</v>
      </c>
      <c r="K89" s="138">
        <v>15000</v>
      </c>
      <c r="L89" s="11" t="s">
        <v>111</v>
      </c>
      <c r="M89" s="11"/>
      <c r="N89" s="11"/>
    </row>
    <row r="90" spans="1:14">
      <c r="A90" s="10" t="s">
        <v>176</v>
      </c>
      <c r="B90" s="97">
        <v>45444</v>
      </c>
      <c r="C90" s="10" t="s">
        <v>43</v>
      </c>
      <c r="D90" s="10" t="s">
        <v>163</v>
      </c>
      <c r="E90" s="137">
        <v>15000</v>
      </c>
      <c r="F90" s="10" t="s">
        <v>107</v>
      </c>
      <c r="G90" s="10" t="s">
        <v>177</v>
      </c>
      <c r="H90" s="10" t="s">
        <v>9</v>
      </c>
      <c r="I90" s="10" t="s">
        <v>131</v>
      </c>
      <c r="J90" s="10" t="s">
        <v>110</v>
      </c>
      <c r="K90" s="137">
        <v>15000</v>
      </c>
      <c r="L90" s="10" t="s">
        <v>111</v>
      </c>
      <c r="M90" s="10"/>
      <c r="N90" s="10"/>
    </row>
    <row r="91" spans="1:14">
      <c r="A91" s="10" t="s">
        <v>181</v>
      </c>
      <c r="B91" s="97">
        <v>45444</v>
      </c>
      <c r="C91" s="10" t="s">
        <v>18</v>
      </c>
      <c r="D91" s="10" t="s">
        <v>106</v>
      </c>
      <c r="E91" s="137">
        <v>6000</v>
      </c>
      <c r="F91" s="10" t="s">
        <v>107</v>
      </c>
      <c r="G91" s="10" t="s">
        <v>130</v>
      </c>
      <c r="H91" s="10" t="s">
        <v>9</v>
      </c>
      <c r="I91" s="10" t="s">
        <v>131</v>
      </c>
      <c r="J91" s="10" t="s">
        <v>110</v>
      </c>
      <c r="K91" s="137">
        <v>6000</v>
      </c>
      <c r="L91" s="10" t="s">
        <v>111</v>
      </c>
      <c r="M91" s="10"/>
      <c r="N91" s="10"/>
    </row>
    <row r="92" spans="1:14">
      <c r="A92" s="11" t="s">
        <v>182</v>
      </c>
      <c r="B92" s="98">
        <v>45444</v>
      </c>
      <c r="C92" s="11" t="s">
        <v>20</v>
      </c>
      <c r="D92" s="11" t="s">
        <v>106</v>
      </c>
      <c r="E92" s="138">
        <v>3800</v>
      </c>
      <c r="F92" s="11" t="s">
        <v>107</v>
      </c>
      <c r="G92" s="11" t="s">
        <v>135</v>
      </c>
      <c r="H92" s="11" t="s">
        <v>9</v>
      </c>
      <c r="I92" s="11" t="s">
        <v>136</v>
      </c>
      <c r="J92" s="11" t="s">
        <v>110</v>
      </c>
      <c r="K92" s="138">
        <v>3800</v>
      </c>
      <c r="L92" s="11" t="s">
        <v>111</v>
      </c>
      <c r="M92" s="11"/>
      <c r="N92" s="11"/>
    </row>
    <row r="93" spans="1:14">
      <c r="A93" s="10" t="s">
        <v>266</v>
      </c>
      <c r="B93" s="97">
        <v>45444</v>
      </c>
      <c r="C93" s="10" t="s">
        <v>6</v>
      </c>
      <c r="D93" s="10" t="s">
        <v>106</v>
      </c>
      <c r="E93" s="137">
        <v>3500</v>
      </c>
      <c r="F93" s="10" t="s">
        <v>107</v>
      </c>
      <c r="G93" s="10" t="s">
        <v>108</v>
      </c>
      <c r="H93" s="10" t="s">
        <v>9</v>
      </c>
      <c r="I93" s="10" t="s">
        <v>109</v>
      </c>
      <c r="J93" s="10" t="s">
        <v>110</v>
      </c>
      <c r="K93" s="137">
        <v>3500</v>
      </c>
      <c r="L93" s="10" t="s">
        <v>111</v>
      </c>
      <c r="M93" s="10"/>
      <c r="N93" s="10"/>
    </row>
    <row r="94" spans="1:14">
      <c r="A94" s="11" t="s">
        <v>267</v>
      </c>
      <c r="B94" s="98">
        <v>45444</v>
      </c>
      <c r="C94" s="11" t="s">
        <v>14</v>
      </c>
      <c r="D94" s="11" t="s">
        <v>106</v>
      </c>
      <c r="E94" s="138">
        <v>3200</v>
      </c>
      <c r="F94" s="11" t="s">
        <v>107</v>
      </c>
      <c r="G94" s="11" t="s">
        <v>119</v>
      </c>
      <c r="H94" s="11" t="s">
        <v>9</v>
      </c>
      <c r="I94" s="11" t="s">
        <v>120</v>
      </c>
      <c r="J94" s="11" t="s">
        <v>110</v>
      </c>
      <c r="K94" s="138">
        <v>3200</v>
      </c>
      <c r="L94" s="11" t="s">
        <v>111</v>
      </c>
      <c r="M94" s="11"/>
      <c r="N94" s="11"/>
    </row>
    <row r="95" spans="1:14">
      <c r="A95" s="10" t="s">
        <v>268</v>
      </c>
      <c r="B95" s="97">
        <v>45444</v>
      </c>
      <c r="C95" s="10" t="s">
        <v>16</v>
      </c>
      <c r="D95" s="10" t="s">
        <v>106</v>
      </c>
      <c r="E95" s="137">
        <v>5500</v>
      </c>
      <c r="F95" s="10" t="s">
        <v>107</v>
      </c>
      <c r="G95" s="10" t="s">
        <v>124</v>
      </c>
      <c r="H95" s="10" t="s">
        <v>9</v>
      </c>
      <c r="I95" s="10" t="s">
        <v>125</v>
      </c>
      <c r="J95" s="10" t="s">
        <v>110</v>
      </c>
      <c r="K95" s="137">
        <v>5500</v>
      </c>
      <c r="L95" s="10" t="s">
        <v>111</v>
      </c>
      <c r="M95" s="10"/>
      <c r="N95" s="10"/>
    </row>
    <row r="96" spans="1:14">
      <c r="A96" s="11" t="s">
        <v>269</v>
      </c>
      <c r="B96" s="98">
        <v>45444</v>
      </c>
      <c r="C96" s="11" t="s">
        <v>24</v>
      </c>
      <c r="D96" s="11" t="s">
        <v>106</v>
      </c>
      <c r="E96" s="138">
        <v>4500</v>
      </c>
      <c r="F96" s="11" t="s">
        <v>107</v>
      </c>
      <c r="G96" s="11" t="s">
        <v>149</v>
      </c>
      <c r="H96" s="11" t="s">
        <v>9</v>
      </c>
      <c r="I96" s="11" t="s">
        <v>125</v>
      </c>
      <c r="J96" s="11" t="s">
        <v>110</v>
      </c>
      <c r="K96" s="138">
        <v>4500</v>
      </c>
      <c r="L96" s="11" t="s">
        <v>111</v>
      </c>
      <c r="M96" s="11"/>
      <c r="N96" s="11"/>
    </row>
    <row r="97" spans="1:14">
      <c r="A97" s="10" t="s">
        <v>270</v>
      </c>
      <c r="B97" s="97">
        <v>45444</v>
      </c>
      <c r="C97" s="10" t="s">
        <v>26</v>
      </c>
      <c r="D97" s="10" t="s">
        <v>106</v>
      </c>
      <c r="E97" s="137">
        <v>3300</v>
      </c>
      <c r="F97" s="10" t="s">
        <v>107</v>
      </c>
      <c r="G97" s="10" t="s">
        <v>151</v>
      </c>
      <c r="H97" s="10" t="s">
        <v>9</v>
      </c>
      <c r="I97" s="10" t="s">
        <v>109</v>
      </c>
      <c r="J97" s="10" t="s">
        <v>110</v>
      </c>
      <c r="K97" s="137">
        <v>3300</v>
      </c>
      <c r="L97" s="10" t="s">
        <v>111</v>
      </c>
      <c r="M97" s="10"/>
      <c r="N97" s="10"/>
    </row>
    <row r="98" spans="1:14">
      <c r="A98" s="11" t="s">
        <v>271</v>
      </c>
      <c r="B98" s="98">
        <v>45448</v>
      </c>
      <c r="C98" s="11" t="s">
        <v>36</v>
      </c>
      <c r="D98" s="11" t="s">
        <v>163</v>
      </c>
      <c r="E98" s="138">
        <v>7000</v>
      </c>
      <c r="F98" s="11" t="s">
        <v>107</v>
      </c>
      <c r="G98" s="11" t="s">
        <v>164</v>
      </c>
      <c r="H98" s="11" t="s">
        <v>9</v>
      </c>
      <c r="I98" s="11" t="s">
        <v>125</v>
      </c>
      <c r="J98" s="11" t="s">
        <v>110</v>
      </c>
      <c r="K98" s="138">
        <v>7000</v>
      </c>
      <c r="L98" s="11" t="s">
        <v>111</v>
      </c>
      <c r="M98" s="11"/>
      <c r="N98" s="11"/>
    </row>
    <row r="99" spans="1:14">
      <c r="A99" s="11" t="s">
        <v>178</v>
      </c>
      <c r="B99" s="98">
        <v>45453</v>
      </c>
      <c r="C99" s="11" t="s">
        <v>43</v>
      </c>
      <c r="D99" s="11" t="s">
        <v>179</v>
      </c>
      <c r="E99" s="138">
        <v>4000</v>
      </c>
      <c r="F99" s="11" t="s">
        <v>107</v>
      </c>
      <c r="G99" s="11" t="s">
        <v>180</v>
      </c>
      <c r="H99" s="11" t="s">
        <v>9</v>
      </c>
      <c r="I99" s="11" t="s">
        <v>131</v>
      </c>
      <c r="J99" s="11" t="s">
        <v>115</v>
      </c>
      <c r="K99" s="138">
        <v>11000</v>
      </c>
      <c r="L99" s="11" t="s">
        <v>111</v>
      </c>
      <c r="M99" s="11"/>
      <c r="N99" s="11"/>
    </row>
    <row r="100" spans="1:14">
      <c r="A100" s="11" t="s">
        <v>389</v>
      </c>
      <c r="B100" s="98">
        <v>45453</v>
      </c>
      <c r="C100" s="11" t="s">
        <v>75</v>
      </c>
      <c r="D100" s="11" t="s">
        <v>371</v>
      </c>
      <c r="E100" s="138">
        <v>75000</v>
      </c>
      <c r="F100" s="11" t="s">
        <v>107</v>
      </c>
      <c r="G100" s="11" t="s">
        <v>390</v>
      </c>
      <c r="H100" s="11" t="s">
        <v>9</v>
      </c>
      <c r="I100" s="11" t="s">
        <v>391</v>
      </c>
      <c r="J100" s="11" t="s">
        <v>110</v>
      </c>
      <c r="K100" s="138">
        <v>75000</v>
      </c>
      <c r="L100" s="1" t="s">
        <v>365</v>
      </c>
      <c r="M100" s="5" t="s">
        <v>392</v>
      </c>
      <c r="N100" s="11" t="s">
        <v>393</v>
      </c>
    </row>
    <row r="101" spans="1:14">
      <c r="A101" s="10" t="s">
        <v>272</v>
      </c>
      <c r="B101" s="97">
        <v>45453</v>
      </c>
      <c r="C101" s="10" t="s">
        <v>40</v>
      </c>
      <c r="D101" s="10" t="s">
        <v>163</v>
      </c>
      <c r="E101" s="137">
        <v>12000</v>
      </c>
      <c r="F101" s="10" t="s">
        <v>107</v>
      </c>
      <c r="G101" s="10" t="s">
        <v>171</v>
      </c>
      <c r="H101" s="10" t="s">
        <v>172</v>
      </c>
      <c r="I101" s="10" t="s">
        <v>173</v>
      </c>
      <c r="J101" s="10" t="s">
        <v>110</v>
      </c>
      <c r="K101" s="137">
        <v>12000</v>
      </c>
      <c r="L101" s="10" t="s">
        <v>111</v>
      </c>
      <c r="M101" s="10"/>
      <c r="N101" s="10"/>
    </row>
    <row r="102" spans="1:14">
      <c r="A102" s="10" t="s">
        <v>394</v>
      </c>
      <c r="B102" s="97">
        <v>45454</v>
      </c>
      <c r="C102" s="10" t="s">
        <v>75</v>
      </c>
      <c r="D102" s="10" t="s">
        <v>378</v>
      </c>
      <c r="E102" s="137">
        <v>25000</v>
      </c>
      <c r="F102" s="10" t="s">
        <v>107</v>
      </c>
      <c r="G102" s="10" t="s">
        <v>395</v>
      </c>
      <c r="H102" s="10" t="s">
        <v>9</v>
      </c>
      <c r="I102" s="10" t="s">
        <v>396</v>
      </c>
      <c r="J102" s="10" t="s">
        <v>115</v>
      </c>
      <c r="K102" s="137">
        <v>50000</v>
      </c>
      <c r="L102" s="1" t="s">
        <v>365</v>
      </c>
      <c r="M102" s="5" t="s">
        <v>392</v>
      </c>
      <c r="N102" s="10" t="s">
        <v>393</v>
      </c>
    </row>
    <row r="103" spans="1:14">
      <c r="A103" s="11" t="s">
        <v>273</v>
      </c>
      <c r="B103" s="98">
        <v>45458</v>
      </c>
      <c r="C103" s="11" t="s">
        <v>43</v>
      </c>
      <c r="D103" s="11" t="s">
        <v>163</v>
      </c>
      <c r="E103" s="138">
        <v>15000</v>
      </c>
      <c r="F103" s="11" t="s">
        <v>107</v>
      </c>
      <c r="G103" s="11" t="s">
        <v>177</v>
      </c>
      <c r="H103" s="11" t="s">
        <v>9</v>
      </c>
      <c r="I103" s="11" t="s">
        <v>131</v>
      </c>
      <c r="J103" s="11" t="s">
        <v>110</v>
      </c>
      <c r="K103" s="138">
        <v>15000</v>
      </c>
      <c r="L103" s="11" t="s">
        <v>111</v>
      </c>
      <c r="M103" s="11"/>
      <c r="N103" s="11"/>
    </row>
    <row r="104" spans="1:14">
      <c r="A104" s="10" t="s">
        <v>274</v>
      </c>
      <c r="B104" s="97">
        <v>45463</v>
      </c>
      <c r="C104" s="10" t="s">
        <v>46</v>
      </c>
      <c r="D104" s="10" t="s">
        <v>187</v>
      </c>
      <c r="E104" s="137">
        <v>25000</v>
      </c>
      <c r="F104" s="10" t="s">
        <v>107</v>
      </c>
      <c r="G104" s="10" t="s">
        <v>188</v>
      </c>
      <c r="H104" s="10" t="s">
        <v>9</v>
      </c>
      <c r="I104" s="10" t="s">
        <v>125</v>
      </c>
      <c r="J104" s="10" t="s">
        <v>110</v>
      </c>
      <c r="K104" s="137">
        <v>25000</v>
      </c>
      <c r="L104" s="10" t="s">
        <v>111</v>
      </c>
      <c r="M104" s="10"/>
      <c r="N104" s="10"/>
    </row>
    <row r="105" spans="1:14">
      <c r="A105" s="11" t="s">
        <v>275</v>
      </c>
      <c r="B105" s="98">
        <v>45471</v>
      </c>
      <c r="C105" s="11" t="s">
        <v>49</v>
      </c>
      <c r="D105" s="11" t="s">
        <v>216</v>
      </c>
      <c r="E105" s="138">
        <v>4000</v>
      </c>
      <c r="F105" s="11" t="s">
        <v>107</v>
      </c>
      <c r="G105" s="11" t="s">
        <v>217</v>
      </c>
      <c r="H105" s="11" t="s">
        <v>9</v>
      </c>
      <c r="I105" s="11" t="s">
        <v>218</v>
      </c>
      <c r="J105" s="11" t="s">
        <v>110</v>
      </c>
      <c r="K105" s="138">
        <v>4000</v>
      </c>
      <c r="L105" s="11" t="s">
        <v>111</v>
      </c>
      <c r="M105" s="11"/>
      <c r="N105" s="11"/>
    </row>
    <row r="106" spans="1:14">
      <c r="A106" s="10" t="s">
        <v>183</v>
      </c>
      <c r="B106" s="97">
        <v>45474</v>
      </c>
      <c r="C106" s="10" t="s">
        <v>6</v>
      </c>
      <c r="D106" s="10" t="s">
        <v>106</v>
      </c>
      <c r="E106" s="137">
        <v>3500</v>
      </c>
      <c r="F106" s="10" t="s">
        <v>107</v>
      </c>
      <c r="G106" s="10" t="s">
        <v>108</v>
      </c>
      <c r="H106" s="10" t="s">
        <v>9</v>
      </c>
      <c r="I106" s="10" t="s">
        <v>109</v>
      </c>
      <c r="J106" s="10" t="s">
        <v>110</v>
      </c>
      <c r="K106" s="137">
        <v>3500</v>
      </c>
      <c r="L106" s="10" t="s">
        <v>111</v>
      </c>
      <c r="M106" s="10"/>
      <c r="N106" s="10"/>
    </row>
    <row r="107" spans="1:14">
      <c r="A107" s="11" t="s">
        <v>184</v>
      </c>
      <c r="B107" s="98">
        <v>45474</v>
      </c>
      <c r="C107" s="11" t="s">
        <v>28</v>
      </c>
      <c r="D107" s="11" t="s">
        <v>106</v>
      </c>
      <c r="E107" s="138">
        <v>5000</v>
      </c>
      <c r="F107" s="11" t="s">
        <v>107</v>
      </c>
      <c r="G107" s="11" t="s">
        <v>154</v>
      </c>
      <c r="H107" s="11" t="s">
        <v>9</v>
      </c>
      <c r="I107" s="11" t="s">
        <v>120</v>
      </c>
      <c r="J107" s="11" t="s">
        <v>110</v>
      </c>
      <c r="K107" s="138">
        <v>5000</v>
      </c>
      <c r="L107" s="11" t="s">
        <v>111</v>
      </c>
      <c r="M107" s="11"/>
      <c r="N107" s="11"/>
    </row>
    <row r="108" spans="1:14">
      <c r="A108" s="10" t="s">
        <v>185</v>
      </c>
      <c r="B108" s="97">
        <v>45474</v>
      </c>
      <c r="C108" s="10" t="s">
        <v>30</v>
      </c>
      <c r="D108" s="10" t="s">
        <v>106</v>
      </c>
      <c r="E108" s="137">
        <v>4000</v>
      </c>
      <c r="F108" s="10" t="s">
        <v>107</v>
      </c>
      <c r="G108" s="10" t="s">
        <v>158</v>
      </c>
      <c r="H108" s="10" t="s">
        <v>9</v>
      </c>
      <c r="I108" s="10" t="s">
        <v>131</v>
      </c>
      <c r="J108" s="10" t="s">
        <v>110</v>
      </c>
      <c r="K108" s="137">
        <v>4000</v>
      </c>
      <c r="L108" s="10" t="s">
        <v>111</v>
      </c>
      <c r="M108" s="10"/>
      <c r="N108" s="10"/>
    </row>
    <row r="109" spans="1:14">
      <c r="A109" s="11" t="s">
        <v>186</v>
      </c>
      <c r="B109" s="98">
        <v>45474</v>
      </c>
      <c r="C109" s="11" t="s">
        <v>46</v>
      </c>
      <c r="D109" s="11" t="s">
        <v>187</v>
      </c>
      <c r="E109" s="138">
        <v>25000</v>
      </c>
      <c r="F109" s="11" t="s">
        <v>107</v>
      </c>
      <c r="G109" s="11" t="s">
        <v>188</v>
      </c>
      <c r="H109" s="11" t="s">
        <v>9</v>
      </c>
      <c r="I109" s="11" t="s">
        <v>125</v>
      </c>
      <c r="J109" s="11" t="s">
        <v>110</v>
      </c>
      <c r="K109" s="138">
        <v>25000</v>
      </c>
      <c r="L109" s="11" t="s">
        <v>111</v>
      </c>
      <c r="M109" s="11"/>
      <c r="N109" s="11"/>
    </row>
    <row r="110" spans="1:14">
      <c r="A110" s="10" t="s">
        <v>276</v>
      </c>
      <c r="B110" s="97">
        <v>45474</v>
      </c>
      <c r="C110" s="10" t="s">
        <v>14</v>
      </c>
      <c r="D110" s="10" t="s">
        <v>106</v>
      </c>
      <c r="E110" s="137">
        <v>3200</v>
      </c>
      <c r="F110" s="10" t="s">
        <v>107</v>
      </c>
      <c r="G110" s="10" t="s">
        <v>119</v>
      </c>
      <c r="H110" s="10" t="s">
        <v>9</v>
      </c>
      <c r="I110" s="10" t="s">
        <v>120</v>
      </c>
      <c r="J110" s="10" t="s">
        <v>110</v>
      </c>
      <c r="K110" s="137">
        <v>3200</v>
      </c>
      <c r="L110" s="10" t="s">
        <v>111</v>
      </c>
      <c r="M110" s="10"/>
      <c r="N110" s="10"/>
    </row>
    <row r="111" spans="1:14">
      <c r="A111" s="11" t="s">
        <v>277</v>
      </c>
      <c r="B111" s="98">
        <v>45474</v>
      </c>
      <c r="C111" s="11" t="s">
        <v>16</v>
      </c>
      <c r="D111" s="11" t="s">
        <v>106</v>
      </c>
      <c r="E111" s="138">
        <v>5500</v>
      </c>
      <c r="F111" s="11" t="s">
        <v>107</v>
      </c>
      <c r="G111" s="11" t="s">
        <v>124</v>
      </c>
      <c r="H111" s="11" t="s">
        <v>9</v>
      </c>
      <c r="I111" s="11" t="s">
        <v>125</v>
      </c>
      <c r="J111" s="11" t="s">
        <v>110</v>
      </c>
      <c r="K111" s="138">
        <v>5500</v>
      </c>
      <c r="L111" s="11" t="s">
        <v>111</v>
      </c>
      <c r="M111" s="11"/>
      <c r="N111" s="11"/>
    </row>
    <row r="112" spans="1:14">
      <c r="A112" s="10" t="s">
        <v>278</v>
      </c>
      <c r="B112" s="97">
        <v>45474</v>
      </c>
      <c r="C112" s="10" t="s">
        <v>18</v>
      </c>
      <c r="D112" s="10" t="s">
        <v>106</v>
      </c>
      <c r="E112" s="137">
        <v>6000</v>
      </c>
      <c r="F112" s="10" t="s">
        <v>107</v>
      </c>
      <c r="G112" s="10" t="s">
        <v>130</v>
      </c>
      <c r="H112" s="10" t="s">
        <v>9</v>
      </c>
      <c r="I112" s="10" t="s">
        <v>131</v>
      </c>
      <c r="J112" s="10" t="s">
        <v>110</v>
      </c>
      <c r="K112" s="137">
        <v>6000</v>
      </c>
      <c r="L112" s="10" t="s">
        <v>111</v>
      </c>
      <c r="M112" s="10"/>
      <c r="N112" s="10"/>
    </row>
    <row r="113" spans="1:14">
      <c r="A113" s="11" t="s">
        <v>279</v>
      </c>
      <c r="B113" s="98">
        <v>45474</v>
      </c>
      <c r="C113" s="11" t="s">
        <v>20</v>
      </c>
      <c r="D113" s="11" t="s">
        <v>106</v>
      </c>
      <c r="E113" s="138">
        <v>3800</v>
      </c>
      <c r="F113" s="11" t="s">
        <v>107</v>
      </c>
      <c r="G113" s="11" t="s">
        <v>135</v>
      </c>
      <c r="H113" s="11" t="s">
        <v>9</v>
      </c>
      <c r="I113" s="11" t="s">
        <v>136</v>
      </c>
      <c r="J113" s="11" t="s">
        <v>110</v>
      </c>
      <c r="K113" s="138">
        <v>3800</v>
      </c>
      <c r="L113" s="11" t="s">
        <v>111</v>
      </c>
      <c r="M113" s="11"/>
      <c r="N113" s="11"/>
    </row>
    <row r="114" spans="1:14">
      <c r="A114" s="10" t="s">
        <v>280</v>
      </c>
      <c r="B114" s="97">
        <v>45474</v>
      </c>
      <c r="C114" s="10" t="s">
        <v>22</v>
      </c>
      <c r="D114" s="10" t="s">
        <v>106</v>
      </c>
      <c r="E114" s="137">
        <v>3000</v>
      </c>
      <c r="F114" s="10" t="s">
        <v>107</v>
      </c>
      <c r="G114" s="10" t="s">
        <v>145</v>
      </c>
      <c r="H114" s="10" t="s">
        <v>9</v>
      </c>
      <c r="I114" s="10" t="s">
        <v>146</v>
      </c>
      <c r="J114" s="10" t="s">
        <v>110</v>
      </c>
      <c r="K114" s="137">
        <v>3000</v>
      </c>
      <c r="L114" s="10" t="s">
        <v>111</v>
      </c>
      <c r="M114" s="10"/>
      <c r="N114" s="10"/>
    </row>
    <row r="115" spans="1:14">
      <c r="A115" s="11" t="s">
        <v>281</v>
      </c>
      <c r="B115" s="98">
        <v>45478</v>
      </c>
      <c r="C115" s="11" t="s">
        <v>36</v>
      </c>
      <c r="D115" s="11" t="s">
        <v>166</v>
      </c>
      <c r="E115" s="138">
        <v>2500</v>
      </c>
      <c r="F115" s="11" t="s">
        <v>107</v>
      </c>
      <c r="G115" s="11" t="s">
        <v>195</v>
      </c>
      <c r="H115" s="11" t="s">
        <v>168</v>
      </c>
      <c r="I115" s="11" t="s">
        <v>169</v>
      </c>
      <c r="J115" s="11" t="s">
        <v>115</v>
      </c>
      <c r="K115" s="138">
        <v>4500</v>
      </c>
      <c r="L115" s="11" t="s">
        <v>111</v>
      </c>
      <c r="M115" s="11"/>
      <c r="N115" s="11"/>
    </row>
    <row r="116" spans="1:14">
      <c r="A116" s="10" t="s">
        <v>282</v>
      </c>
      <c r="B116" s="97">
        <v>45483</v>
      </c>
      <c r="C116" s="10" t="s">
        <v>40</v>
      </c>
      <c r="D116" s="10" t="s">
        <v>113</v>
      </c>
      <c r="E116" s="137">
        <v>3000</v>
      </c>
      <c r="F116" s="10" t="s">
        <v>107</v>
      </c>
      <c r="G116" s="10" t="s">
        <v>249</v>
      </c>
      <c r="H116" s="10" t="s">
        <v>9</v>
      </c>
      <c r="I116" s="10" t="s">
        <v>109</v>
      </c>
      <c r="J116" s="10" t="s">
        <v>115</v>
      </c>
      <c r="K116" s="137">
        <v>9000</v>
      </c>
      <c r="L116" s="10" t="s">
        <v>111</v>
      </c>
      <c r="M116" s="10"/>
      <c r="N116" s="10"/>
    </row>
    <row r="117" spans="1:14">
      <c r="A117" s="10" t="s">
        <v>189</v>
      </c>
      <c r="B117" s="97">
        <v>45488</v>
      </c>
      <c r="C117" s="10" t="s">
        <v>46</v>
      </c>
      <c r="D117" s="10" t="s">
        <v>127</v>
      </c>
      <c r="E117" s="137">
        <v>8000</v>
      </c>
      <c r="F117" s="10" t="s">
        <v>107</v>
      </c>
      <c r="G117" s="10" t="s">
        <v>146</v>
      </c>
      <c r="H117" s="10" t="s">
        <v>9</v>
      </c>
      <c r="I117" s="10" t="s">
        <v>125</v>
      </c>
      <c r="J117" s="10" t="s">
        <v>115</v>
      </c>
      <c r="K117" s="137">
        <v>17000</v>
      </c>
      <c r="L117" s="10" t="s">
        <v>111</v>
      </c>
      <c r="M117" s="10"/>
      <c r="N117" s="10"/>
    </row>
    <row r="118" spans="1:14">
      <c r="A118" s="11" t="s">
        <v>283</v>
      </c>
      <c r="B118" s="98">
        <v>45488</v>
      </c>
      <c r="C118" s="11" t="s">
        <v>43</v>
      </c>
      <c r="D118" s="11" t="s">
        <v>179</v>
      </c>
      <c r="E118" s="138">
        <v>4000</v>
      </c>
      <c r="F118" s="11" t="s">
        <v>107</v>
      </c>
      <c r="G118" s="11" t="s">
        <v>180</v>
      </c>
      <c r="H118" s="11" t="s">
        <v>9</v>
      </c>
      <c r="I118" s="11" t="s">
        <v>131</v>
      </c>
      <c r="J118" s="11" t="s">
        <v>115</v>
      </c>
      <c r="K118" s="138">
        <v>11000</v>
      </c>
      <c r="L118" s="11" t="s">
        <v>111</v>
      </c>
      <c r="M118" s="11"/>
      <c r="N118" s="11"/>
    </row>
    <row r="119" spans="1:14">
      <c r="A119" s="11" t="s">
        <v>397</v>
      </c>
      <c r="B119" s="98">
        <v>45491</v>
      </c>
      <c r="C119" s="11" t="s">
        <v>66</v>
      </c>
      <c r="D119" s="11" t="s">
        <v>371</v>
      </c>
      <c r="E119" s="138">
        <v>120000</v>
      </c>
      <c r="F119" s="11" t="s">
        <v>107</v>
      </c>
      <c r="G119" s="11" t="s">
        <v>398</v>
      </c>
      <c r="H119" s="11" t="s">
        <v>399</v>
      </c>
      <c r="I119" s="11" t="s">
        <v>400</v>
      </c>
      <c r="J119" s="11" t="s">
        <v>110</v>
      </c>
      <c r="K119" s="138">
        <v>120000</v>
      </c>
      <c r="L119" s="1" t="s">
        <v>365</v>
      </c>
      <c r="M119" s="6" t="s">
        <v>401</v>
      </c>
      <c r="N119" s="11" t="s">
        <v>402</v>
      </c>
    </row>
    <row r="120" spans="1:14">
      <c r="A120" s="10" t="s">
        <v>284</v>
      </c>
      <c r="B120" s="97">
        <v>45493</v>
      </c>
      <c r="C120" s="10" t="s">
        <v>51</v>
      </c>
      <c r="D120" s="10" t="s">
        <v>106</v>
      </c>
      <c r="E120" s="137">
        <v>4500</v>
      </c>
      <c r="F120" s="10" t="s">
        <v>107</v>
      </c>
      <c r="G120" s="10" t="s">
        <v>193</v>
      </c>
      <c r="H120" s="10" t="s">
        <v>9</v>
      </c>
      <c r="I120" s="10" t="s">
        <v>109</v>
      </c>
      <c r="J120" s="10" t="s">
        <v>110</v>
      </c>
      <c r="K120" s="137">
        <v>4500</v>
      </c>
      <c r="L120" s="10" t="s">
        <v>111</v>
      </c>
      <c r="M120" s="10"/>
      <c r="N120" s="10"/>
    </row>
    <row r="121" spans="1:14">
      <c r="A121" s="11" t="s">
        <v>285</v>
      </c>
      <c r="B121" s="98">
        <v>45498</v>
      </c>
      <c r="C121" s="11" t="s">
        <v>54</v>
      </c>
      <c r="D121" s="11" t="s">
        <v>163</v>
      </c>
      <c r="E121" s="138">
        <v>20000</v>
      </c>
      <c r="F121" s="11" t="s">
        <v>107</v>
      </c>
      <c r="G121" s="11" t="s">
        <v>200</v>
      </c>
      <c r="H121" s="11" t="s">
        <v>9</v>
      </c>
      <c r="I121" s="11" t="s">
        <v>109</v>
      </c>
      <c r="J121" s="11" t="s">
        <v>110</v>
      </c>
      <c r="K121" s="138">
        <v>20000</v>
      </c>
      <c r="L121" s="11" t="s">
        <v>111</v>
      </c>
      <c r="M121" s="11"/>
      <c r="N121" s="11"/>
    </row>
    <row r="122" spans="1:14">
      <c r="A122" s="11" t="s">
        <v>190</v>
      </c>
      <c r="B122" s="98">
        <v>45505</v>
      </c>
      <c r="C122" s="11" t="s">
        <v>6</v>
      </c>
      <c r="D122" s="11" t="s">
        <v>106</v>
      </c>
      <c r="E122" s="138">
        <v>3500</v>
      </c>
      <c r="F122" s="11" t="s">
        <v>107</v>
      </c>
      <c r="G122" s="11" t="s">
        <v>108</v>
      </c>
      <c r="H122" s="11" t="s">
        <v>9</v>
      </c>
      <c r="I122" s="11" t="s">
        <v>109</v>
      </c>
      <c r="J122" s="11" t="s">
        <v>110</v>
      </c>
      <c r="K122" s="138">
        <v>3500</v>
      </c>
      <c r="L122" s="11" t="s">
        <v>111</v>
      </c>
      <c r="M122" s="11"/>
      <c r="N122" s="11"/>
    </row>
    <row r="123" spans="1:14">
      <c r="A123" s="10" t="s">
        <v>191</v>
      </c>
      <c r="B123" s="97">
        <v>45505</v>
      </c>
      <c r="C123" s="10" t="s">
        <v>14</v>
      </c>
      <c r="D123" s="10" t="s">
        <v>106</v>
      </c>
      <c r="E123" s="137">
        <v>3200</v>
      </c>
      <c r="F123" s="10" t="s">
        <v>107</v>
      </c>
      <c r="G123" s="10" t="s">
        <v>119</v>
      </c>
      <c r="H123" s="10" t="s">
        <v>9</v>
      </c>
      <c r="I123" s="10" t="s">
        <v>120</v>
      </c>
      <c r="J123" s="10" t="s">
        <v>110</v>
      </c>
      <c r="K123" s="137">
        <v>3200</v>
      </c>
      <c r="L123" s="10" t="s">
        <v>111</v>
      </c>
      <c r="M123" s="10"/>
      <c r="N123" s="10"/>
    </row>
    <row r="124" spans="1:14">
      <c r="A124" s="11" t="s">
        <v>192</v>
      </c>
      <c r="B124" s="98">
        <v>45505</v>
      </c>
      <c r="C124" s="11" t="s">
        <v>51</v>
      </c>
      <c r="D124" s="11" t="s">
        <v>106</v>
      </c>
      <c r="E124" s="138">
        <v>4500</v>
      </c>
      <c r="F124" s="11" t="s">
        <v>107</v>
      </c>
      <c r="G124" s="11" t="s">
        <v>193</v>
      </c>
      <c r="H124" s="11" t="s">
        <v>9</v>
      </c>
      <c r="I124" s="11" t="s">
        <v>109</v>
      </c>
      <c r="J124" s="11" t="s">
        <v>110</v>
      </c>
      <c r="K124" s="138">
        <v>4500</v>
      </c>
      <c r="L124" s="11" t="s">
        <v>111</v>
      </c>
      <c r="M124" s="11"/>
      <c r="N124" s="11"/>
    </row>
    <row r="125" spans="1:14">
      <c r="A125" s="10" t="s">
        <v>286</v>
      </c>
      <c r="B125" s="97">
        <v>45505</v>
      </c>
      <c r="C125" s="10" t="s">
        <v>16</v>
      </c>
      <c r="D125" s="10" t="s">
        <v>106</v>
      </c>
      <c r="E125" s="137">
        <v>5500</v>
      </c>
      <c r="F125" s="10" t="s">
        <v>107</v>
      </c>
      <c r="G125" s="10" t="s">
        <v>124</v>
      </c>
      <c r="H125" s="10" t="s">
        <v>9</v>
      </c>
      <c r="I125" s="10" t="s">
        <v>125</v>
      </c>
      <c r="J125" s="10" t="s">
        <v>110</v>
      </c>
      <c r="K125" s="137">
        <v>5500</v>
      </c>
      <c r="L125" s="10" t="s">
        <v>111</v>
      </c>
      <c r="M125" s="10"/>
      <c r="N125" s="10"/>
    </row>
    <row r="126" spans="1:14">
      <c r="A126" s="11" t="s">
        <v>287</v>
      </c>
      <c r="B126" s="98">
        <v>45505</v>
      </c>
      <c r="C126" s="11" t="s">
        <v>18</v>
      </c>
      <c r="D126" s="11" t="s">
        <v>106</v>
      </c>
      <c r="E126" s="138">
        <v>6000</v>
      </c>
      <c r="F126" s="11" t="s">
        <v>107</v>
      </c>
      <c r="G126" s="11" t="s">
        <v>130</v>
      </c>
      <c r="H126" s="11" t="s">
        <v>9</v>
      </c>
      <c r="I126" s="11" t="s">
        <v>131</v>
      </c>
      <c r="J126" s="11" t="s">
        <v>110</v>
      </c>
      <c r="K126" s="138">
        <v>6000</v>
      </c>
      <c r="L126" s="11" t="s">
        <v>111</v>
      </c>
      <c r="M126" s="11"/>
      <c r="N126" s="11"/>
    </row>
    <row r="127" spans="1:14">
      <c r="A127" s="10" t="s">
        <v>288</v>
      </c>
      <c r="B127" s="97">
        <v>45505</v>
      </c>
      <c r="C127" s="10" t="s">
        <v>20</v>
      </c>
      <c r="D127" s="10" t="s">
        <v>106</v>
      </c>
      <c r="E127" s="137">
        <v>3800</v>
      </c>
      <c r="F127" s="10" t="s">
        <v>107</v>
      </c>
      <c r="G127" s="10" t="s">
        <v>135</v>
      </c>
      <c r="H127" s="10" t="s">
        <v>9</v>
      </c>
      <c r="I127" s="10" t="s">
        <v>136</v>
      </c>
      <c r="J127" s="10" t="s">
        <v>110</v>
      </c>
      <c r="K127" s="137">
        <v>3800</v>
      </c>
      <c r="L127" s="10" t="s">
        <v>111</v>
      </c>
      <c r="M127" s="10"/>
      <c r="N127" s="10"/>
    </row>
    <row r="128" spans="1:14">
      <c r="A128" s="11" t="s">
        <v>289</v>
      </c>
      <c r="B128" s="98">
        <v>45505</v>
      </c>
      <c r="C128" s="11" t="s">
        <v>22</v>
      </c>
      <c r="D128" s="11" t="s">
        <v>106</v>
      </c>
      <c r="E128" s="138">
        <v>3000</v>
      </c>
      <c r="F128" s="11" t="s">
        <v>107</v>
      </c>
      <c r="G128" s="11" t="s">
        <v>145</v>
      </c>
      <c r="H128" s="11" t="s">
        <v>9</v>
      </c>
      <c r="I128" s="11" t="s">
        <v>146</v>
      </c>
      <c r="J128" s="11" t="s">
        <v>110</v>
      </c>
      <c r="K128" s="138">
        <v>3000</v>
      </c>
      <c r="L128" s="11" t="s">
        <v>111</v>
      </c>
      <c r="M128" s="11"/>
      <c r="N128" s="11"/>
    </row>
    <row r="129" spans="1:14">
      <c r="A129" s="10" t="s">
        <v>290</v>
      </c>
      <c r="B129" s="97">
        <v>45505</v>
      </c>
      <c r="C129" s="10" t="s">
        <v>24</v>
      </c>
      <c r="D129" s="10" t="s">
        <v>106</v>
      </c>
      <c r="E129" s="137">
        <v>4500</v>
      </c>
      <c r="F129" s="10" t="s">
        <v>107</v>
      </c>
      <c r="G129" s="10" t="s">
        <v>149</v>
      </c>
      <c r="H129" s="10" t="s">
        <v>9</v>
      </c>
      <c r="I129" s="10" t="s">
        <v>125</v>
      </c>
      <c r="J129" s="10" t="s">
        <v>110</v>
      </c>
      <c r="K129" s="137">
        <v>4500</v>
      </c>
      <c r="L129" s="10" t="s">
        <v>111</v>
      </c>
      <c r="M129" s="10"/>
      <c r="N129" s="10"/>
    </row>
    <row r="130" spans="1:14">
      <c r="A130" s="10" t="s">
        <v>403</v>
      </c>
      <c r="B130" s="97">
        <v>45506</v>
      </c>
      <c r="C130" s="10" t="s">
        <v>68</v>
      </c>
      <c r="D130" s="10" t="s">
        <v>378</v>
      </c>
      <c r="E130" s="137">
        <v>30000</v>
      </c>
      <c r="F130" s="10" t="s">
        <v>107</v>
      </c>
      <c r="G130" s="10" t="s">
        <v>59</v>
      </c>
      <c r="H130" s="10" t="s">
        <v>9</v>
      </c>
      <c r="I130" s="10" t="s">
        <v>109</v>
      </c>
      <c r="J130" s="10" t="s">
        <v>115</v>
      </c>
      <c r="K130" s="137">
        <v>10000</v>
      </c>
      <c r="L130" s="1" t="s">
        <v>365</v>
      </c>
      <c r="M130" s="7" t="s">
        <v>404</v>
      </c>
      <c r="N130" s="10" t="s">
        <v>405</v>
      </c>
    </row>
    <row r="131" spans="1:14">
      <c r="A131" s="11" t="s">
        <v>291</v>
      </c>
      <c r="B131" s="98">
        <v>45509</v>
      </c>
      <c r="C131" s="11" t="s">
        <v>36</v>
      </c>
      <c r="D131" s="11" t="s">
        <v>163</v>
      </c>
      <c r="E131" s="138">
        <v>7000</v>
      </c>
      <c r="F131" s="11" t="s">
        <v>107</v>
      </c>
      <c r="G131" s="11" t="s">
        <v>164</v>
      </c>
      <c r="H131" s="11" t="s">
        <v>9</v>
      </c>
      <c r="I131" s="11" t="s">
        <v>125</v>
      </c>
      <c r="J131" s="11" t="s">
        <v>110</v>
      </c>
      <c r="K131" s="138">
        <v>7000</v>
      </c>
      <c r="L131" s="11" t="s">
        <v>111</v>
      </c>
      <c r="M131" s="11"/>
      <c r="N131" s="11"/>
    </row>
    <row r="132" spans="1:14">
      <c r="A132" s="11" t="s">
        <v>406</v>
      </c>
      <c r="B132" s="98">
        <v>45513</v>
      </c>
      <c r="C132" s="11" t="s">
        <v>59</v>
      </c>
      <c r="D132" s="11" t="s">
        <v>378</v>
      </c>
      <c r="E132" s="138">
        <v>29500</v>
      </c>
      <c r="F132" s="11" t="s">
        <v>107</v>
      </c>
      <c r="G132" s="11" t="s">
        <v>68</v>
      </c>
      <c r="H132" s="11" t="s">
        <v>9</v>
      </c>
      <c r="I132" s="11" t="s">
        <v>109</v>
      </c>
      <c r="J132" s="11" t="s">
        <v>115</v>
      </c>
      <c r="K132" s="138">
        <v>5000</v>
      </c>
      <c r="L132" s="1" t="s">
        <v>365</v>
      </c>
      <c r="M132" s="7" t="s">
        <v>404</v>
      </c>
      <c r="N132" s="11" t="s">
        <v>405</v>
      </c>
    </row>
    <row r="133" spans="1:14">
      <c r="A133" s="10" t="s">
        <v>194</v>
      </c>
      <c r="B133" s="97">
        <v>45514</v>
      </c>
      <c r="C133" s="10" t="s">
        <v>51</v>
      </c>
      <c r="D133" s="10" t="s">
        <v>166</v>
      </c>
      <c r="E133" s="137">
        <v>1000</v>
      </c>
      <c r="F133" s="10" t="s">
        <v>107</v>
      </c>
      <c r="G133" s="10" t="s">
        <v>195</v>
      </c>
      <c r="H133" s="10" t="s">
        <v>196</v>
      </c>
      <c r="I133" s="10" t="s">
        <v>197</v>
      </c>
      <c r="J133" s="10" t="s">
        <v>115</v>
      </c>
      <c r="K133" s="137">
        <v>3500</v>
      </c>
      <c r="L133" s="10" t="s">
        <v>111</v>
      </c>
      <c r="M133" s="10"/>
      <c r="N133" s="10"/>
    </row>
    <row r="134" spans="1:14">
      <c r="A134" s="10" t="s">
        <v>292</v>
      </c>
      <c r="B134" s="97">
        <v>45514</v>
      </c>
      <c r="C134" s="10" t="s">
        <v>40</v>
      </c>
      <c r="D134" s="10" t="s">
        <v>163</v>
      </c>
      <c r="E134" s="137">
        <v>12000</v>
      </c>
      <c r="F134" s="10" t="s">
        <v>107</v>
      </c>
      <c r="G134" s="10" t="s">
        <v>171</v>
      </c>
      <c r="H134" s="10" t="s">
        <v>172</v>
      </c>
      <c r="I134" s="10" t="s">
        <v>173</v>
      </c>
      <c r="J134" s="10" t="s">
        <v>110</v>
      </c>
      <c r="K134" s="137">
        <v>12000</v>
      </c>
      <c r="L134" s="10" t="s">
        <v>111</v>
      </c>
      <c r="M134" s="10"/>
      <c r="N134" s="10"/>
    </row>
    <row r="135" spans="1:14">
      <c r="A135" s="11" t="s">
        <v>293</v>
      </c>
      <c r="B135" s="98">
        <v>45519</v>
      </c>
      <c r="C135" s="11" t="s">
        <v>43</v>
      </c>
      <c r="D135" s="11" t="s">
        <v>163</v>
      </c>
      <c r="E135" s="138">
        <v>15000</v>
      </c>
      <c r="F135" s="11" t="s">
        <v>107</v>
      </c>
      <c r="G135" s="11" t="s">
        <v>177</v>
      </c>
      <c r="H135" s="11" t="s">
        <v>9</v>
      </c>
      <c r="I135" s="11" t="s">
        <v>131</v>
      </c>
      <c r="J135" s="11" t="s">
        <v>110</v>
      </c>
      <c r="K135" s="138">
        <v>15000</v>
      </c>
      <c r="L135" s="11" t="s">
        <v>111</v>
      </c>
      <c r="M135" s="11"/>
      <c r="N135" s="11"/>
    </row>
    <row r="136" spans="1:14">
      <c r="A136" s="10" t="s">
        <v>294</v>
      </c>
      <c r="B136" s="97">
        <v>45524</v>
      </c>
      <c r="C136" s="10" t="s">
        <v>59</v>
      </c>
      <c r="D136" s="10" t="s">
        <v>187</v>
      </c>
      <c r="E136" s="137">
        <v>50000</v>
      </c>
      <c r="F136" s="10" t="s">
        <v>107</v>
      </c>
      <c r="G136" s="10" t="s">
        <v>188</v>
      </c>
      <c r="H136" s="10" t="s">
        <v>9</v>
      </c>
      <c r="I136" s="10" t="s">
        <v>125</v>
      </c>
      <c r="J136" s="10" t="s">
        <v>110</v>
      </c>
      <c r="K136" s="137">
        <v>50000</v>
      </c>
      <c r="L136" s="10" t="s">
        <v>111</v>
      </c>
      <c r="M136" s="10"/>
      <c r="N136" s="10"/>
    </row>
    <row r="137" spans="1:14">
      <c r="A137" s="11" t="s">
        <v>295</v>
      </c>
      <c r="B137" s="98">
        <v>45532</v>
      </c>
      <c r="C137" s="11" t="s">
        <v>63</v>
      </c>
      <c r="D137" s="11" t="s">
        <v>263</v>
      </c>
      <c r="E137" s="138">
        <v>10000</v>
      </c>
      <c r="F137" s="11" t="s">
        <v>107</v>
      </c>
      <c r="G137" s="11" t="s">
        <v>264</v>
      </c>
      <c r="H137" s="11" t="s">
        <v>9</v>
      </c>
      <c r="I137" s="11" t="s">
        <v>109</v>
      </c>
      <c r="J137" s="11" t="s">
        <v>110</v>
      </c>
      <c r="K137" s="138">
        <v>10000</v>
      </c>
      <c r="L137" s="11" t="s">
        <v>111</v>
      </c>
      <c r="M137" s="11"/>
      <c r="N137" s="11"/>
    </row>
    <row r="138" spans="1:14">
      <c r="A138" s="11" t="s">
        <v>198</v>
      </c>
      <c r="B138" s="98">
        <v>45536</v>
      </c>
      <c r="C138" s="11" t="s">
        <v>16</v>
      </c>
      <c r="D138" s="11" t="s">
        <v>106</v>
      </c>
      <c r="E138" s="138">
        <v>5500</v>
      </c>
      <c r="F138" s="11" t="s">
        <v>107</v>
      </c>
      <c r="G138" s="11" t="s">
        <v>124</v>
      </c>
      <c r="H138" s="11" t="s">
        <v>9</v>
      </c>
      <c r="I138" s="11" t="s">
        <v>125</v>
      </c>
      <c r="J138" s="11" t="s">
        <v>110</v>
      </c>
      <c r="K138" s="138">
        <v>5500</v>
      </c>
      <c r="L138" s="11" t="s">
        <v>111</v>
      </c>
      <c r="M138" s="11"/>
      <c r="N138" s="11"/>
    </row>
    <row r="139" spans="1:14">
      <c r="A139" s="10" t="s">
        <v>199</v>
      </c>
      <c r="B139" s="97">
        <v>45536</v>
      </c>
      <c r="C139" s="10" t="s">
        <v>54</v>
      </c>
      <c r="D139" s="10" t="s">
        <v>163</v>
      </c>
      <c r="E139" s="137">
        <v>20000</v>
      </c>
      <c r="F139" s="10" t="s">
        <v>107</v>
      </c>
      <c r="G139" s="10" t="s">
        <v>200</v>
      </c>
      <c r="H139" s="10" t="s">
        <v>9</v>
      </c>
      <c r="I139" s="10" t="s">
        <v>109</v>
      </c>
      <c r="J139" s="10" t="s">
        <v>110</v>
      </c>
      <c r="K139" s="137">
        <v>20000</v>
      </c>
      <c r="L139" s="10" t="s">
        <v>111</v>
      </c>
      <c r="M139" s="10"/>
      <c r="N139" s="10"/>
    </row>
    <row r="140" spans="1:14">
      <c r="A140" s="10" t="s">
        <v>296</v>
      </c>
      <c r="B140" s="97">
        <v>45536</v>
      </c>
      <c r="C140" s="10" t="s">
        <v>6</v>
      </c>
      <c r="D140" s="10" t="s">
        <v>106</v>
      </c>
      <c r="E140" s="137">
        <v>3500</v>
      </c>
      <c r="F140" s="10" t="s">
        <v>107</v>
      </c>
      <c r="G140" s="10" t="s">
        <v>108</v>
      </c>
      <c r="H140" s="10" t="s">
        <v>9</v>
      </c>
      <c r="I140" s="10" t="s">
        <v>109</v>
      </c>
      <c r="J140" s="10" t="s">
        <v>110</v>
      </c>
      <c r="K140" s="137">
        <v>3500</v>
      </c>
      <c r="L140" s="10" t="s">
        <v>111</v>
      </c>
      <c r="M140" s="10"/>
      <c r="N140" s="10"/>
    </row>
    <row r="141" spans="1:14">
      <c r="A141" s="11" t="s">
        <v>297</v>
      </c>
      <c r="B141" s="98">
        <v>45536</v>
      </c>
      <c r="C141" s="11" t="s">
        <v>14</v>
      </c>
      <c r="D141" s="11" t="s">
        <v>106</v>
      </c>
      <c r="E141" s="138">
        <v>3200</v>
      </c>
      <c r="F141" s="11" t="s">
        <v>107</v>
      </c>
      <c r="G141" s="11" t="s">
        <v>119</v>
      </c>
      <c r="H141" s="11" t="s">
        <v>9</v>
      </c>
      <c r="I141" s="11" t="s">
        <v>120</v>
      </c>
      <c r="J141" s="11" t="s">
        <v>110</v>
      </c>
      <c r="K141" s="138">
        <v>3200</v>
      </c>
      <c r="L141" s="11" t="s">
        <v>111</v>
      </c>
      <c r="M141" s="11"/>
      <c r="N141" s="11"/>
    </row>
    <row r="142" spans="1:14">
      <c r="A142" s="10" t="s">
        <v>298</v>
      </c>
      <c r="B142" s="97">
        <v>45536</v>
      </c>
      <c r="C142" s="10" t="s">
        <v>18</v>
      </c>
      <c r="D142" s="10" t="s">
        <v>106</v>
      </c>
      <c r="E142" s="137">
        <v>6000</v>
      </c>
      <c r="F142" s="10" t="s">
        <v>107</v>
      </c>
      <c r="G142" s="10" t="s">
        <v>130</v>
      </c>
      <c r="H142" s="10" t="s">
        <v>9</v>
      </c>
      <c r="I142" s="10" t="s">
        <v>131</v>
      </c>
      <c r="J142" s="10" t="s">
        <v>110</v>
      </c>
      <c r="K142" s="137">
        <v>6000</v>
      </c>
      <c r="L142" s="10" t="s">
        <v>111</v>
      </c>
      <c r="M142" s="10"/>
      <c r="N142" s="10"/>
    </row>
    <row r="143" spans="1:14">
      <c r="A143" s="11" t="s">
        <v>299</v>
      </c>
      <c r="B143" s="98">
        <v>45536</v>
      </c>
      <c r="C143" s="11" t="s">
        <v>20</v>
      </c>
      <c r="D143" s="11" t="s">
        <v>106</v>
      </c>
      <c r="E143" s="138">
        <v>3800</v>
      </c>
      <c r="F143" s="11" t="s">
        <v>107</v>
      </c>
      <c r="G143" s="11" t="s">
        <v>135</v>
      </c>
      <c r="H143" s="11" t="s">
        <v>9</v>
      </c>
      <c r="I143" s="11" t="s">
        <v>136</v>
      </c>
      <c r="J143" s="11" t="s">
        <v>110</v>
      </c>
      <c r="K143" s="138">
        <v>3800</v>
      </c>
      <c r="L143" s="11" t="s">
        <v>111</v>
      </c>
      <c r="M143" s="11"/>
      <c r="N143" s="11"/>
    </row>
    <row r="144" spans="1:14">
      <c r="A144" s="10" t="s">
        <v>300</v>
      </c>
      <c r="B144" s="97">
        <v>45536</v>
      </c>
      <c r="C144" s="10" t="s">
        <v>22</v>
      </c>
      <c r="D144" s="10" t="s">
        <v>106</v>
      </c>
      <c r="E144" s="137">
        <v>3000</v>
      </c>
      <c r="F144" s="10" t="s">
        <v>107</v>
      </c>
      <c r="G144" s="10" t="s">
        <v>145</v>
      </c>
      <c r="H144" s="10" t="s">
        <v>9</v>
      </c>
      <c r="I144" s="10" t="s">
        <v>146</v>
      </c>
      <c r="J144" s="10" t="s">
        <v>110</v>
      </c>
      <c r="K144" s="137">
        <v>3000</v>
      </c>
      <c r="L144" s="10" t="s">
        <v>111</v>
      </c>
      <c r="M144" s="10"/>
      <c r="N144" s="10"/>
    </row>
    <row r="145" spans="1:14">
      <c r="A145" s="11" t="s">
        <v>301</v>
      </c>
      <c r="B145" s="98">
        <v>45540</v>
      </c>
      <c r="C145" s="11" t="s">
        <v>36</v>
      </c>
      <c r="D145" s="11" t="s">
        <v>166</v>
      </c>
      <c r="E145" s="138">
        <v>2000</v>
      </c>
      <c r="F145" s="11" t="s">
        <v>107</v>
      </c>
      <c r="G145" s="11" t="s">
        <v>195</v>
      </c>
      <c r="H145" s="11" t="s">
        <v>168</v>
      </c>
      <c r="I145" s="11" t="s">
        <v>169</v>
      </c>
      <c r="J145" s="11" t="s">
        <v>115</v>
      </c>
      <c r="K145" s="138">
        <v>5000</v>
      </c>
      <c r="L145" s="11" t="s">
        <v>111</v>
      </c>
      <c r="M145" s="11"/>
      <c r="N145" s="11"/>
    </row>
    <row r="146" spans="1:14">
      <c r="A146" s="10" t="s">
        <v>302</v>
      </c>
      <c r="B146" s="97">
        <v>45545</v>
      </c>
      <c r="C146" s="10" t="s">
        <v>40</v>
      </c>
      <c r="D146" s="10" t="s">
        <v>113</v>
      </c>
      <c r="E146" s="137">
        <v>3000</v>
      </c>
      <c r="F146" s="10" t="s">
        <v>107</v>
      </c>
      <c r="G146" s="10" t="s">
        <v>249</v>
      </c>
      <c r="H146" s="10" t="s">
        <v>9</v>
      </c>
      <c r="I146" s="10" t="s">
        <v>109</v>
      </c>
      <c r="J146" s="10" t="s">
        <v>115</v>
      </c>
      <c r="K146" s="137">
        <v>9000</v>
      </c>
      <c r="L146" s="10" t="s">
        <v>111</v>
      </c>
      <c r="M146" s="10"/>
      <c r="N146" s="10"/>
    </row>
    <row r="147" spans="1:14">
      <c r="A147" s="10" t="s">
        <v>407</v>
      </c>
      <c r="B147" s="97">
        <v>45549</v>
      </c>
      <c r="C147" s="10" t="s">
        <v>49</v>
      </c>
      <c r="D147" s="10" t="s">
        <v>216</v>
      </c>
      <c r="E147" s="137">
        <v>18000</v>
      </c>
      <c r="F147" s="10" t="s">
        <v>107</v>
      </c>
      <c r="G147" s="10" t="s">
        <v>217</v>
      </c>
      <c r="H147" s="10" t="s">
        <v>9</v>
      </c>
      <c r="I147" s="10" t="s">
        <v>218</v>
      </c>
      <c r="J147" s="10" t="s">
        <v>110</v>
      </c>
      <c r="K147" s="137">
        <v>18000</v>
      </c>
      <c r="L147" s="1" t="s">
        <v>365</v>
      </c>
      <c r="M147" s="8" t="s">
        <v>408</v>
      </c>
      <c r="N147" s="10" t="s">
        <v>409</v>
      </c>
    </row>
    <row r="148" spans="1:14">
      <c r="A148" s="11" t="s">
        <v>303</v>
      </c>
      <c r="B148" s="98">
        <v>45550</v>
      </c>
      <c r="C148" s="11" t="s">
        <v>43</v>
      </c>
      <c r="D148" s="11" t="s">
        <v>113</v>
      </c>
      <c r="E148" s="138">
        <v>1500</v>
      </c>
      <c r="F148" s="11" t="s">
        <v>107</v>
      </c>
      <c r="G148" s="11" t="s">
        <v>251</v>
      </c>
      <c r="H148" s="11" t="s">
        <v>9</v>
      </c>
      <c r="I148" s="11" t="s">
        <v>131</v>
      </c>
      <c r="J148" s="11" t="s">
        <v>115</v>
      </c>
      <c r="K148" s="138">
        <v>13500</v>
      </c>
      <c r="L148" s="11" t="s">
        <v>111</v>
      </c>
      <c r="M148" s="11"/>
      <c r="N148" s="11"/>
    </row>
    <row r="149" spans="1:14">
      <c r="A149" s="10" t="s">
        <v>304</v>
      </c>
      <c r="B149" s="97">
        <v>45555</v>
      </c>
      <c r="C149" s="10" t="s">
        <v>46</v>
      </c>
      <c r="D149" s="10" t="s">
        <v>187</v>
      </c>
      <c r="E149" s="137">
        <v>25000</v>
      </c>
      <c r="F149" s="10" t="s">
        <v>107</v>
      </c>
      <c r="G149" s="10" t="s">
        <v>188</v>
      </c>
      <c r="H149" s="10" t="s">
        <v>9</v>
      </c>
      <c r="I149" s="10" t="s">
        <v>125</v>
      </c>
      <c r="J149" s="10" t="s">
        <v>110</v>
      </c>
      <c r="K149" s="137">
        <v>25000</v>
      </c>
      <c r="L149" s="10" t="s">
        <v>111</v>
      </c>
      <c r="M149" s="10"/>
      <c r="N149" s="10"/>
    </row>
    <row r="150" spans="1:14">
      <c r="A150" s="11" t="s">
        <v>305</v>
      </c>
      <c r="B150" s="98">
        <v>45560</v>
      </c>
      <c r="C150" s="11" t="s">
        <v>51</v>
      </c>
      <c r="D150" s="11" t="s">
        <v>106</v>
      </c>
      <c r="E150" s="138">
        <v>4500</v>
      </c>
      <c r="F150" s="11" t="s">
        <v>107</v>
      </c>
      <c r="G150" s="11" t="s">
        <v>193</v>
      </c>
      <c r="H150" s="11" t="s">
        <v>9</v>
      </c>
      <c r="I150" s="11" t="s">
        <v>109</v>
      </c>
      <c r="J150" s="11" t="s">
        <v>110</v>
      </c>
      <c r="K150" s="138">
        <v>4500</v>
      </c>
      <c r="L150" s="11" t="s">
        <v>111</v>
      </c>
      <c r="M150" s="11"/>
      <c r="N150" s="11"/>
    </row>
    <row r="151" spans="1:14">
      <c r="A151" s="11" t="s">
        <v>201</v>
      </c>
      <c r="B151" s="98">
        <v>45566</v>
      </c>
      <c r="C151" s="11" t="s">
        <v>22</v>
      </c>
      <c r="D151" s="11" t="s">
        <v>106</v>
      </c>
      <c r="E151" s="138">
        <v>3000</v>
      </c>
      <c r="F151" s="11" t="s">
        <v>107</v>
      </c>
      <c r="G151" s="11" t="s">
        <v>145</v>
      </c>
      <c r="H151" s="11" t="s">
        <v>9</v>
      </c>
      <c r="I151" s="11" t="s">
        <v>146</v>
      </c>
      <c r="J151" s="11" t="s">
        <v>110</v>
      </c>
      <c r="K151" s="138">
        <v>3000</v>
      </c>
      <c r="L151" s="11" t="s">
        <v>111</v>
      </c>
      <c r="M151" s="11"/>
      <c r="N151" s="11"/>
    </row>
    <row r="152" spans="1:14">
      <c r="A152" s="10" t="s">
        <v>202</v>
      </c>
      <c r="B152" s="97">
        <v>45566</v>
      </c>
      <c r="C152" s="10" t="s">
        <v>26</v>
      </c>
      <c r="D152" s="10" t="s">
        <v>106</v>
      </c>
      <c r="E152" s="137">
        <v>3300</v>
      </c>
      <c r="F152" s="10" t="s">
        <v>107</v>
      </c>
      <c r="G152" s="10" t="s">
        <v>151</v>
      </c>
      <c r="H152" s="10" t="s">
        <v>9</v>
      </c>
      <c r="I152" s="10" t="s">
        <v>109</v>
      </c>
      <c r="J152" s="10" t="s">
        <v>110</v>
      </c>
      <c r="K152" s="137">
        <v>3300</v>
      </c>
      <c r="L152" s="10" t="s">
        <v>111</v>
      </c>
      <c r="M152" s="10"/>
      <c r="N152" s="10"/>
    </row>
    <row r="153" spans="1:14">
      <c r="A153" s="10" t="s">
        <v>306</v>
      </c>
      <c r="B153" s="97">
        <v>45566</v>
      </c>
      <c r="C153" s="10" t="s">
        <v>6</v>
      </c>
      <c r="D153" s="10" t="s">
        <v>106</v>
      </c>
      <c r="E153" s="137">
        <v>3500</v>
      </c>
      <c r="F153" s="10" t="s">
        <v>107</v>
      </c>
      <c r="G153" s="10" t="s">
        <v>108</v>
      </c>
      <c r="H153" s="10" t="s">
        <v>9</v>
      </c>
      <c r="I153" s="10" t="s">
        <v>109</v>
      </c>
      <c r="J153" s="10" t="s">
        <v>110</v>
      </c>
      <c r="K153" s="137">
        <v>3500</v>
      </c>
      <c r="L153" s="10" t="s">
        <v>111</v>
      </c>
      <c r="M153" s="10"/>
      <c r="N153" s="10"/>
    </row>
    <row r="154" spans="1:14">
      <c r="A154" s="11" t="s">
        <v>307</v>
      </c>
      <c r="B154" s="98">
        <v>45566</v>
      </c>
      <c r="C154" s="11" t="s">
        <v>14</v>
      </c>
      <c r="D154" s="11" t="s">
        <v>106</v>
      </c>
      <c r="E154" s="138">
        <v>3200</v>
      </c>
      <c r="F154" s="11" t="s">
        <v>107</v>
      </c>
      <c r="G154" s="11" t="s">
        <v>119</v>
      </c>
      <c r="H154" s="11" t="s">
        <v>9</v>
      </c>
      <c r="I154" s="11" t="s">
        <v>120</v>
      </c>
      <c r="J154" s="11" t="s">
        <v>110</v>
      </c>
      <c r="K154" s="138">
        <v>3200</v>
      </c>
      <c r="L154" s="11" t="s">
        <v>111</v>
      </c>
      <c r="M154" s="11"/>
      <c r="N154" s="11"/>
    </row>
    <row r="155" spans="1:14">
      <c r="A155" s="10" t="s">
        <v>308</v>
      </c>
      <c r="B155" s="97">
        <v>45566</v>
      </c>
      <c r="C155" s="10" t="s">
        <v>16</v>
      </c>
      <c r="D155" s="10" t="s">
        <v>106</v>
      </c>
      <c r="E155" s="137">
        <v>5500</v>
      </c>
      <c r="F155" s="10" t="s">
        <v>107</v>
      </c>
      <c r="G155" s="10" t="s">
        <v>124</v>
      </c>
      <c r="H155" s="10" t="s">
        <v>9</v>
      </c>
      <c r="I155" s="10" t="s">
        <v>125</v>
      </c>
      <c r="J155" s="10" t="s">
        <v>110</v>
      </c>
      <c r="K155" s="137">
        <v>5500</v>
      </c>
      <c r="L155" s="10" t="s">
        <v>111</v>
      </c>
      <c r="M155" s="10"/>
      <c r="N155" s="10"/>
    </row>
    <row r="156" spans="1:14">
      <c r="A156" s="11" t="s">
        <v>309</v>
      </c>
      <c r="B156" s="98">
        <v>45566</v>
      </c>
      <c r="C156" s="11" t="s">
        <v>18</v>
      </c>
      <c r="D156" s="11" t="s">
        <v>106</v>
      </c>
      <c r="E156" s="138">
        <v>6000</v>
      </c>
      <c r="F156" s="11" t="s">
        <v>107</v>
      </c>
      <c r="G156" s="11" t="s">
        <v>130</v>
      </c>
      <c r="H156" s="11" t="s">
        <v>9</v>
      </c>
      <c r="I156" s="11" t="s">
        <v>131</v>
      </c>
      <c r="J156" s="11" t="s">
        <v>110</v>
      </c>
      <c r="K156" s="138">
        <v>6000</v>
      </c>
      <c r="L156" s="11" t="s">
        <v>111</v>
      </c>
      <c r="M156" s="11"/>
      <c r="N156" s="11"/>
    </row>
    <row r="157" spans="1:14">
      <c r="A157" s="10" t="s">
        <v>310</v>
      </c>
      <c r="B157" s="97">
        <v>45566</v>
      </c>
      <c r="C157" s="10" t="s">
        <v>20</v>
      </c>
      <c r="D157" s="10" t="s">
        <v>106</v>
      </c>
      <c r="E157" s="137">
        <v>3800</v>
      </c>
      <c r="F157" s="10" t="s">
        <v>107</v>
      </c>
      <c r="G157" s="10" t="s">
        <v>135</v>
      </c>
      <c r="H157" s="10" t="s">
        <v>9</v>
      </c>
      <c r="I157" s="10" t="s">
        <v>136</v>
      </c>
      <c r="J157" s="10" t="s">
        <v>110</v>
      </c>
      <c r="K157" s="137">
        <v>3800</v>
      </c>
      <c r="L157" s="10" t="s">
        <v>111</v>
      </c>
      <c r="M157" s="10"/>
      <c r="N157" s="10"/>
    </row>
    <row r="158" spans="1:14">
      <c r="A158" s="11" t="s">
        <v>311</v>
      </c>
      <c r="B158" s="98">
        <v>45570</v>
      </c>
      <c r="C158" s="11" t="s">
        <v>36</v>
      </c>
      <c r="D158" s="11" t="s">
        <v>163</v>
      </c>
      <c r="E158" s="138">
        <v>7000</v>
      </c>
      <c r="F158" s="11" t="s">
        <v>107</v>
      </c>
      <c r="G158" s="11" t="s">
        <v>164</v>
      </c>
      <c r="H158" s="11" t="s">
        <v>9</v>
      </c>
      <c r="I158" s="11" t="s">
        <v>125</v>
      </c>
      <c r="J158" s="11" t="s">
        <v>110</v>
      </c>
      <c r="K158" s="138">
        <v>7000</v>
      </c>
      <c r="L158" s="11" t="s">
        <v>111</v>
      </c>
      <c r="M158" s="11"/>
      <c r="N158" s="11"/>
    </row>
    <row r="159" spans="1:14">
      <c r="A159" s="10" t="s">
        <v>312</v>
      </c>
      <c r="B159" s="97">
        <v>45575</v>
      </c>
      <c r="C159" s="10" t="s">
        <v>40</v>
      </c>
      <c r="D159" s="10" t="s">
        <v>163</v>
      </c>
      <c r="E159" s="137">
        <v>12000</v>
      </c>
      <c r="F159" s="10" t="s">
        <v>107</v>
      </c>
      <c r="G159" s="10" t="s">
        <v>171</v>
      </c>
      <c r="H159" s="10" t="s">
        <v>172</v>
      </c>
      <c r="I159" s="10" t="s">
        <v>173</v>
      </c>
      <c r="J159" s="10" t="s">
        <v>110</v>
      </c>
      <c r="K159" s="137">
        <v>12000</v>
      </c>
      <c r="L159" s="10" t="s">
        <v>111</v>
      </c>
      <c r="M159" s="10"/>
      <c r="N159" s="10"/>
    </row>
    <row r="160" spans="1:14">
      <c r="A160" s="11" t="s">
        <v>313</v>
      </c>
      <c r="B160" s="98">
        <v>45580</v>
      </c>
      <c r="C160" s="11" t="s">
        <v>43</v>
      </c>
      <c r="D160" s="11" t="s">
        <v>163</v>
      </c>
      <c r="E160" s="138">
        <v>15000</v>
      </c>
      <c r="F160" s="11" t="s">
        <v>107</v>
      </c>
      <c r="G160" s="11" t="s">
        <v>177</v>
      </c>
      <c r="H160" s="11" t="s">
        <v>9</v>
      </c>
      <c r="I160" s="11" t="s">
        <v>131</v>
      </c>
      <c r="J160" s="11" t="s">
        <v>110</v>
      </c>
      <c r="K160" s="138">
        <v>15000</v>
      </c>
      <c r="L160" s="11" t="s">
        <v>111</v>
      </c>
      <c r="M160" s="11"/>
      <c r="N160" s="11"/>
    </row>
    <row r="161" spans="1:14">
      <c r="A161" s="10" t="s">
        <v>314</v>
      </c>
      <c r="B161" s="97">
        <v>45585</v>
      </c>
      <c r="C161" s="10" t="s">
        <v>46</v>
      </c>
      <c r="D161" s="10" t="s">
        <v>187</v>
      </c>
      <c r="E161" s="137">
        <v>25000</v>
      </c>
      <c r="F161" s="10" t="s">
        <v>107</v>
      </c>
      <c r="G161" s="10" t="s">
        <v>188</v>
      </c>
      <c r="H161" s="10" t="s">
        <v>9</v>
      </c>
      <c r="I161" s="10" t="s">
        <v>125</v>
      </c>
      <c r="J161" s="10" t="s">
        <v>110</v>
      </c>
      <c r="K161" s="137">
        <v>25000</v>
      </c>
      <c r="L161" s="10" t="s">
        <v>111</v>
      </c>
      <c r="M161" s="10"/>
      <c r="N161" s="10"/>
    </row>
    <row r="162" spans="1:14">
      <c r="A162" s="11" t="s">
        <v>410</v>
      </c>
      <c r="B162" s="98">
        <v>45586</v>
      </c>
      <c r="C162" s="11" t="s">
        <v>83</v>
      </c>
      <c r="D162" s="11" t="s">
        <v>383</v>
      </c>
      <c r="E162" s="138">
        <v>15000</v>
      </c>
      <c r="F162" s="11" t="s">
        <v>107</v>
      </c>
      <c r="G162" s="11" t="s">
        <v>733</v>
      </c>
      <c r="H162" s="11" t="s">
        <v>411</v>
      </c>
      <c r="I162" s="11" t="s">
        <v>412</v>
      </c>
      <c r="J162" s="11" t="s">
        <v>115</v>
      </c>
      <c r="K162" s="138">
        <v>8500</v>
      </c>
      <c r="L162" s="1" t="s">
        <v>365</v>
      </c>
      <c r="M162" s="9" t="s">
        <v>413</v>
      </c>
      <c r="N162" s="11" t="s">
        <v>414</v>
      </c>
    </row>
    <row r="163" spans="1:14">
      <c r="A163" s="10" t="s">
        <v>415</v>
      </c>
      <c r="B163" s="97">
        <v>45586</v>
      </c>
      <c r="C163" s="10" t="s">
        <v>83</v>
      </c>
      <c r="D163" s="10" t="s">
        <v>383</v>
      </c>
      <c r="E163" s="137">
        <v>8500</v>
      </c>
      <c r="F163" s="10" t="s">
        <v>107</v>
      </c>
      <c r="G163" s="10" t="s">
        <v>416</v>
      </c>
      <c r="H163" s="10" t="s">
        <v>417</v>
      </c>
      <c r="I163" s="10" t="s">
        <v>418</v>
      </c>
      <c r="J163" s="10" t="s">
        <v>115</v>
      </c>
      <c r="K163" s="137">
        <v>0</v>
      </c>
      <c r="L163" s="1" t="s">
        <v>365</v>
      </c>
      <c r="M163" s="9" t="s">
        <v>413</v>
      </c>
      <c r="N163" s="10" t="s">
        <v>414</v>
      </c>
    </row>
    <row r="164" spans="1:14">
      <c r="A164" s="11" t="s">
        <v>315</v>
      </c>
      <c r="B164" s="98">
        <v>45590</v>
      </c>
      <c r="C164" s="11" t="s">
        <v>54</v>
      </c>
      <c r="D164" s="11" t="s">
        <v>163</v>
      </c>
      <c r="E164" s="138">
        <v>20000</v>
      </c>
      <c r="F164" s="11" t="s">
        <v>107</v>
      </c>
      <c r="G164" s="11" t="s">
        <v>200</v>
      </c>
      <c r="H164" s="11" t="s">
        <v>9</v>
      </c>
      <c r="I164" s="11" t="s">
        <v>109</v>
      </c>
      <c r="J164" s="11" t="s">
        <v>110</v>
      </c>
      <c r="K164" s="138">
        <v>20000</v>
      </c>
      <c r="L164" s="11" t="s">
        <v>111</v>
      </c>
      <c r="M164" s="11"/>
      <c r="N164" s="11"/>
    </row>
    <row r="165" spans="1:14">
      <c r="A165" s="11" t="s">
        <v>203</v>
      </c>
      <c r="B165" s="98">
        <v>45597</v>
      </c>
      <c r="C165" s="11" t="s">
        <v>30</v>
      </c>
      <c r="D165" s="11" t="s">
        <v>106</v>
      </c>
      <c r="E165" s="138">
        <v>4000</v>
      </c>
      <c r="F165" s="11" t="s">
        <v>107</v>
      </c>
      <c r="G165" s="11" t="s">
        <v>158</v>
      </c>
      <c r="H165" s="11" t="s">
        <v>9</v>
      </c>
      <c r="I165" s="11" t="s">
        <v>131</v>
      </c>
      <c r="J165" s="11" t="s">
        <v>110</v>
      </c>
      <c r="K165" s="138">
        <v>4000</v>
      </c>
      <c r="L165" s="11" t="s">
        <v>111</v>
      </c>
      <c r="M165" s="11"/>
      <c r="N165" s="11"/>
    </row>
    <row r="166" spans="1:14">
      <c r="A166" s="10" t="s">
        <v>316</v>
      </c>
      <c r="B166" s="97">
        <v>45597</v>
      </c>
      <c r="C166" s="10" t="s">
        <v>6</v>
      </c>
      <c r="D166" s="10" t="s">
        <v>106</v>
      </c>
      <c r="E166" s="137">
        <v>3500</v>
      </c>
      <c r="F166" s="10" t="s">
        <v>107</v>
      </c>
      <c r="G166" s="10" t="s">
        <v>108</v>
      </c>
      <c r="H166" s="10" t="s">
        <v>9</v>
      </c>
      <c r="I166" s="10" t="s">
        <v>109</v>
      </c>
      <c r="J166" s="10" t="s">
        <v>110</v>
      </c>
      <c r="K166" s="137">
        <v>3500</v>
      </c>
      <c r="L166" s="10" t="s">
        <v>111</v>
      </c>
      <c r="M166" s="10"/>
      <c r="N166" s="10"/>
    </row>
    <row r="167" spans="1:14">
      <c r="A167" s="11" t="s">
        <v>317</v>
      </c>
      <c r="B167" s="98">
        <v>45597</v>
      </c>
      <c r="C167" s="11" t="s">
        <v>14</v>
      </c>
      <c r="D167" s="11" t="s">
        <v>106</v>
      </c>
      <c r="E167" s="138">
        <v>3200</v>
      </c>
      <c r="F167" s="11" t="s">
        <v>107</v>
      </c>
      <c r="G167" s="11" t="s">
        <v>119</v>
      </c>
      <c r="H167" s="11" t="s">
        <v>9</v>
      </c>
      <c r="I167" s="11" t="s">
        <v>120</v>
      </c>
      <c r="J167" s="11" t="s">
        <v>110</v>
      </c>
      <c r="K167" s="138">
        <v>3200</v>
      </c>
      <c r="L167" s="11" t="s">
        <v>111</v>
      </c>
      <c r="M167" s="11"/>
      <c r="N167" s="11"/>
    </row>
    <row r="168" spans="1:14">
      <c r="A168" s="10" t="s">
        <v>318</v>
      </c>
      <c r="B168" s="97">
        <v>45597</v>
      </c>
      <c r="C168" s="10" t="s">
        <v>16</v>
      </c>
      <c r="D168" s="10" t="s">
        <v>106</v>
      </c>
      <c r="E168" s="137">
        <v>5500</v>
      </c>
      <c r="F168" s="10" t="s">
        <v>107</v>
      </c>
      <c r="G168" s="10" t="s">
        <v>124</v>
      </c>
      <c r="H168" s="10" t="s">
        <v>9</v>
      </c>
      <c r="I168" s="10" t="s">
        <v>125</v>
      </c>
      <c r="J168" s="10" t="s">
        <v>110</v>
      </c>
      <c r="K168" s="137">
        <v>5500</v>
      </c>
      <c r="L168" s="10" t="s">
        <v>111</v>
      </c>
      <c r="M168" s="10"/>
      <c r="N168" s="10"/>
    </row>
    <row r="169" spans="1:14">
      <c r="A169" s="11" t="s">
        <v>319</v>
      </c>
      <c r="B169" s="98">
        <v>45597</v>
      </c>
      <c r="C169" s="11" t="s">
        <v>18</v>
      </c>
      <c r="D169" s="11" t="s">
        <v>106</v>
      </c>
      <c r="E169" s="138">
        <v>6000</v>
      </c>
      <c r="F169" s="11" t="s">
        <v>107</v>
      </c>
      <c r="G169" s="11" t="s">
        <v>130</v>
      </c>
      <c r="H169" s="11" t="s">
        <v>9</v>
      </c>
      <c r="I169" s="11" t="s">
        <v>131</v>
      </c>
      <c r="J169" s="11" t="s">
        <v>110</v>
      </c>
      <c r="K169" s="138">
        <v>6000</v>
      </c>
      <c r="L169" s="11" t="s">
        <v>111</v>
      </c>
      <c r="M169" s="11"/>
      <c r="N169" s="11"/>
    </row>
    <row r="170" spans="1:14">
      <c r="A170" s="10" t="s">
        <v>320</v>
      </c>
      <c r="B170" s="97">
        <v>45597</v>
      </c>
      <c r="C170" s="10" t="s">
        <v>20</v>
      </c>
      <c r="D170" s="10" t="s">
        <v>106</v>
      </c>
      <c r="E170" s="137">
        <v>3800</v>
      </c>
      <c r="F170" s="10" t="s">
        <v>107</v>
      </c>
      <c r="G170" s="10" t="s">
        <v>135</v>
      </c>
      <c r="H170" s="10" t="s">
        <v>9</v>
      </c>
      <c r="I170" s="10" t="s">
        <v>136</v>
      </c>
      <c r="J170" s="10" t="s">
        <v>110</v>
      </c>
      <c r="K170" s="137">
        <v>3800</v>
      </c>
      <c r="L170" s="10" t="s">
        <v>111</v>
      </c>
      <c r="M170" s="10"/>
      <c r="N170" s="10"/>
    </row>
    <row r="171" spans="1:14">
      <c r="A171" s="11" t="s">
        <v>419</v>
      </c>
      <c r="B171" s="98">
        <v>45599</v>
      </c>
      <c r="C171" s="11" t="s">
        <v>49</v>
      </c>
      <c r="D171" s="11" t="s">
        <v>216</v>
      </c>
      <c r="E171" s="138">
        <v>9700</v>
      </c>
      <c r="F171" s="11" t="s">
        <v>107</v>
      </c>
      <c r="G171" s="11" t="s">
        <v>217</v>
      </c>
      <c r="H171" s="11" t="s">
        <v>9</v>
      </c>
      <c r="I171" s="11" t="s">
        <v>218</v>
      </c>
      <c r="J171" s="11" t="s">
        <v>110</v>
      </c>
      <c r="K171" s="138">
        <v>9700</v>
      </c>
      <c r="L171" s="1" t="s">
        <v>365</v>
      </c>
      <c r="M171" s="2" t="s">
        <v>366</v>
      </c>
      <c r="N171" s="11" t="s">
        <v>420</v>
      </c>
    </row>
    <row r="172" spans="1:14">
      <c r="A172" s="11" t="s">
        <v>321</v>
      </c>
      <c r="B172" s="98">
        <v>45601</v>
      </c>
      <c r="C172" s="11" t="s">
        <v>36</v>
      </c>
      <c r="D172" s="11" t="s">
        <v>166</v>
      </c>
      <c r="E172" s="138">
        <v>1800</v>
      </c>
      <c r="F172" s="11" t="s">
        <v>107</v>
      </c>
      <c r="G172" s="11" t="s">
        <v>195</v>
      </c>
      <c r="H172" s="11" t="s">
        <v>168</v>
      </c>
      <c r="I172" s="11" t="s">
        <v>169</v>
      </c>
      <c r="J172" s="11" t="s">
        <v>115</v>
      </c>
      <c r="K172" s="138">
        <v>5200</v>
      </c>
      <c r="L172" s="11" t="s">
        <v>111</v>
      </c>
      <c r="M172" s="11"/>
      <c r="N172" s="11"/>
    </row>
    <row r="173" spans="1:14">
      <c r="A173" s="10" t="s">
        <v>322</v>
      </c>
      <c r="B173" s="97">
        <v>45606</v>
      </c>
      <c r="C173" s="10" t="s">
        <v>40</v>
      </c>
      <c r="D173" s="10" t="s">
        <v>113</v>
      </c>
      <c r="E173" s="137">
        <v>3000</v>
      </c>
      <c r="F173" s="10" t="s">
        <v>107</v>
      </c>
      <c r="G173" s="10" t="s">
        <v>249</v>
      </c>
      <c r="H173" s="10" t="s">
        <v>9</v>
      </c>
      <c r="I173" s="10" t="s">
        <v>109</v>
      </c>
      <c r="J173" s="10" t="s">
        <v>115</v>
      </c>
      <c r="K173" s="137">
        <v>9000</v>
      </c>
      <c r="L173" s="10" t="s">
        <v>111</v>
      </c>
      <c r="M173" s="10"/>
      <c r="N173" s="10"/>
    </row>
    <row r="174" spans="1:14">
      <c r="A174" s="11" t="s">
        <v>323</v>
      </c>
      <c r="B174" s="98">
        <v>45611</v>
      </c>
      <c r="C174" s="11" t="s">
        <v>43</v>
      </c>
      <c r="D174" s="11" t="s">
        <v>179</v>
      </c>
      <c r="E174" s="138">
        <v>4000</v>
      </c>
      <c r="F174" s="11" t="s">
        <v>107</v>
      </c>
      <c r="G174" s="11" t="s">
        <v>180</v>
      </c>
      <c r="H174" s="11" t="s">
        <v>9</v>
      </c>
      <c r="I174" s="11" t="s">
        <v>131</v>
      </c>
      <c r="J174" s="11" t="s">
        <v>115</v>
      </c>
      <c r="K174" s="138">
        <v>11000</v>
      </c>
      <c r="L174" s="11" t="s">
        <v>111</v>
      </c>
      <c r="M174" s="11"/>
      <c r="N174" s="11"/>
    </row>
    <row r="175" spans="1:14">
      <c r="A175" s="10" t="s">
        <v>324</v>
      </c>
      <c r="B175" s="97">
        <v>45616</v>
      </c>
      <c r="C175" s="10" t="s">
        <v>46</v>
      </c>
      <c r="D175" s="10" t="s">
        <v>127</v>
      </c>
      <c r="E175" s="137">
        <v>8000</v>
      </c>
      <c r="F175" s="10" t="s">
        <v>107</v>
      </c>
      <c r="G175" s="10" t="s">
        <v>146</v>
      </c>
      <c r="H175" s="10" t="s">
        <v>9</v>
      </c>
      <c r="I175" s="10" t="s">
        <v>125</v>
      </c>
      <c r="J175" s="10" t="s">
        <v>115</v>
      </c>
      <c r="K175" s="137">
        <v>17000</v>
      </c>
      <c r="L175" s="10" t="s">
        <v>111</v>
      </c>
      <c r="M175" s="10"/>
      <c r="N175" s="10"/>
    </row>
    <row r="176" spans="1:14">
      <c r="A176" s="11" t="s">
        <v>325</v>
      </c>
      <c r="B176" s="98">
        <v>45621</v>
      </c>
      <c r="C176" s="11" t="s">
        <v>51</v>
      </c>
      <c r="D176" s="11" t="s">
        <v>106</v>
      </c>
      <c r="E176" s="138">
        <v>4500</v>
      </c>
      <c r="F176" s="11" t="s">
        <v>107</v>
      </c>
      <c r="G176" s="11" t="s">
        <v>193</v>
      </c>
      <c r="H176" s="11" t="s">
        <v>9</v>
      </c>
      <c r="I176" s="11" t="s">
        <v>109</v>
      </c>
      <c r="J176" s="11" t="s">
        <v>110</v>
      </c>
      <c r="K176" s="138">
        <v>4500</v>
      </c>
      <c r="L176" s="11" t="s">
        <v>111</v>
      </c>
      <c r="M176" s="11"/>
      <c r="N176" s="11"/>
    </row>
    <row r="177" spans="1:14">
      <c r="A177" s="10" t="s">
        <v>326</v>
      </c>
      <c r="B177" s="97">
        <v>45627</v>
      </c>
      <c r="C177" s="10" t="s">
        <v>6</v>
      </c>
      <c r="D177" s="10" t="s">
        <v>106</v>
      </c>
      <c r="E177" s="137">
        <v>3500</v>
      </c>
      <c r="F177" s="10" t="s">
        <v>107</v>
      </c>
      <c r="G177" s="10" t="s">
        <v>108</v>
      </c>
      <c r="H177" s="10" t="s">
        <v>9</v>
      </c>
      <c r="I177" s="10" t="s">
        <v>109</v>
      </c>
      <c r="J177" s="10" t="s">
        <v>110</v>
      </c>
      <c r="K177" s="137">
        <v>3500</v>
      </c>
      <c r="L177" s="10" t="s">
        <v>111</v>
      </c>
      <c r="M177" s="10"/>
      <c r="N177" s="10"/>
    </row>
    <row r="178" spans="1:14">
      <c r="A178" s="11" t="s">
        <v>327</v>
      </c>
      <c r="B178" s="98">
        <v>45627</v>
      </c>
      <c r="C178" s="11" t="s">
        <v>14</v>
      </c>
      <c r="D178" s="11" t="s">
        <v>106</v>
      </c>
      <c r="E178" s="138">
        <v>3200</v>
      </c>
      <c r="F178" s="11" t="s">
        <v>107</v>
      </c>
      <c r="G178" s="11" t="s">
        <v>119</v>
      </c>
      <c r="H178" s="11" t="s">
        <v>9</v>
      </c>
      <c r="I178" s="11" t="s">
        <v>120</v>
      </c>
      <c r="J178" s="11" t="s">
        <v>110</v>
      </c>
      <c r="K178" s="138">
        <v>3200</v>
      </c>
      <c r="L178" s="11" t="s">
        <v>111</v>
      </c>
      <c r="M178" s="11"/>
      <c r="N178" s="11"/>
    </row>
    <row r="179" spans="1:14">
      <c r="A179" s="10" t="s">
        <v>328</v>
      </c>
      <c r="B179" s="97">
        <v>45627</v>
      </c>
      <c r="C179" s="10" t="s">
        <v>16</v>
      </c>
      <c r="D179" s="10" t="s">
        <v>106</v>
      </c>
      <c r="E179" s="137">
        <v>5500</v>
      </c>
      <c r="F179" s="10" t="s">
        <v>107</v>
      </c>
      <c r="G179" s="10" t="s">
        <v>124</v>
      </c>
      <c r="H179" s="10" t="s">
        <v>9</v>
      </c>
      <c r="I179" s="10" t="s">
        <v>125</v>
      </c>
      <c r="J179" s="10" t="s">
        <v>110</v>
      </c>
      <c r="K179" s="137">
        <v>5500</v>
      </c>
      <c r="L179" s="10" t="s">
        <v>111</v>
      </c>
      <c r="M179" s="10"/>
      <c r="N179" s="10"/>
    </row>
    <row r="180" spans="1:14">
      <c r="A180" s="11" t="s">
        <v>329</v>
      </c>
      <c r="B180" s="98">
        <v>45627</v>
      </c>
      <c r="C180" s="11" t="s">
        <v>18</v>
      </c>
      <c r="D180" s="11" t="s">
        <v>106</v>
      </c>
      <c r="E180" s="138">
        <v>6000</v>
      </c>
      <c r="F180" s="11" t="s">
        <v>107</v>
      </c>
      <c r="G180" s="11" t="s">
        <v>130</v>
      </c>
      <c r="H180" s="11" t="s">
        <v>9</v>
      </c>
      <c r="I180" s="11" t="s">
        <v>131</v>
      </c>
      <c r="J180" s="11" t="s">
        <v>110</v>
      </c>
      <c r="K180" s="138">
        <v>6000</v>
      </c>
      <c r="L180" s="11" t="s">
        <v>111</v>
      </c>
      <c r="M180" s="11"/>
      <c r="N180" s="11"/>
    </row>
    <row r="181" spans="1:14">
      <c r="A181" s="10" t="s">
        <v>330</v>
      </c>
      <c r="B181" s="97">
        <v>45627</v>
      </c>
      <c r="C181" s="10" t="s">
        <v>20</v>
      </c>
      <c r="D181" s="10" t="s">
        <v>106</v>
      </c>
      <c r="E181" s="137">
        <v>3800</v>
      </c>
      <c r="F181" s="10" t="s">
        <v>107</v>
      </c>
      <c r="G181" s="10" t="s">
        <v>135</v>
      </c>
      <c r="H181" s="10" t="s">
        <v>9</v>
      </c>
      <c r="I181" s="10" t="s">
        <v>136</v>
      </c>
      <c r="J181" s="10" t="s">
        <v>110</v>
      </c>
      <c r="K181" s="137">
        <v>3800</v>
      </c>
      <c r="L181" s="10" t="s">
        <v>111</v>
      </c>
      <c r="M181" s="10"/>
      <c r="N181" s="10"/>
    </row>
    <row r="182" spans="1:14">
      <c r="A182" s="11" t="s">
        <v>331</v>
      </c>
      <c r="B182" s="98">
        <v>45631</v>
      </c>
      <c r="C182" s="11" t="s">
        <v>22</v>
      </c>
      <c r="D182" s="11" t="s">
        <v>106</v>
      </c>
      <c r="E182" s="138">
        <v>3000</v>
      </c>
      <c r="F182" s="11" t="s">
        <v>107</v>
      </c>
      <c r="G182" s="11" t="s">
        <v>145</v>
      </c>
      <c r="H182" s="11" t="s">
        <v>9</v>
      </c>
      <c r="I182" s="11" t="s">
        <v>146</v>
      </c>
      <c r="J182" s="11" t="s">
        <v>110</v>
      </c>
      <c r="K182" s="138">
        <v>3000</v>
      </c>
      <c r="L182" s="11" t="s">
        <v>111</v>
      </c>
      <c r="M182" s="11"/>
      <c r="N182" s="11"/>
    </row>
    <row r="183" spans="1:14">
      <c r="A183" s="10" t="s">
        <v>332</v>
      </c>
      <c r="B183" s="97">
        <v>45631</v>
      </c>
      <c r="C183" s="10" t="s">
        <v>24</v>
      </c>
      <c r="D183" s="10" t="s">
        <v>106</v>
      </c>
      <c r="E183" s="137">
        <v>4500</v>
      </c>
      <c r="F183" s="10" t="s">
        <v>107</v>
      </c>
      <c r="G183" s="10" t="s">
        <v>149</v>
      </c>
      <c r="H183" s="10" t="s">
        <v>9</v>
      </c>
      <c r="I183" s="10" t="s">
        <v>125</v>
      </c>
      <c r="J183" s="10" t="s">
        <v>110</v>
      </c>
      <c r="K183" s="137">
        <v>4500</v>
      </c>
      <c r="L183" s="10" t="s">
        <v>111</v>
      </c>
      <c r="M183" s="10"/>
      <c r="N183" s="10"/>
    </row>
    <row r="184" spans="1:14">
      <c r="A184" s="11" t="s">
        <v>333</v>
      </c>
      <c r="B184" s="98">
        <v>45631</v>
      </c>
      <c r="C184" s="11" t="s">
        <v>26</v>
      </c>
      <c r="D184" s="11" t="s">
        <v>106</v>
      </c>
      <c r="E184" s="138">
        <v>3300</v>
      </c>
      <c r="F184" s="11" t="s">
        <v>107</v>
      </c>
      <c r="G184" s="11" t="s">
        <v>151</v>
      </c>
      <c r="H184" s="11" t="s">
        <v>9</v>
      </c>
      <c r="I184" s="11" t="s">
        <v>109</v>
      </c>
      <c r="J184" s="11" t="s">
        <v>110</v>
      </c>
      <c r="K184" s="138">
        <v>3300</v>
      </c>
      <c r="L184" s="11" t="s">
        <v>111</v>
      </c>
      <c r="M184" s="11"/>
      <c r="N184" s="11"/>
    </row>
    <row r="185" spans="1:14">
      <c r="A185" s="10" t="s">
        <v>334</v>
      </c>
      <c r="B185" s="97">
        <v>45631</v>
      </c>
      <c r="C185" s="10" t="s">
        <v>28</v>
      </c>
      <c r="D185" s="10" t="s">
        <v>106</v>
      </c>
      <c r="E185" s="137">
        <v>5000</v>
      </c>
      <c r="F185" s="10" t="s">
        <v>107</v>
      </c>
      <c r="G185" s="10" t="s">
        <v>154</v>
      </c>
      <c r="H185" s="10" t="s">
        <v>9</v>
      </c>
      <c r="I185" s="10" t="s">
        <v>120</v>
      </c>
      <c r="J185" s="10" t="s">
        <v>110</v>
      </c>
      <c r="K185" s="137">
        <v>5000</v>
      </c>
      <c r="L185" s="10" t="s">
        <v>111</v>
      </c>
      <c r="M185" s="10"/>
      <c r="N185" s="10"/>
    </row>
    <row r="186" spans="1:14">
      <c r="A186" s="11" t="s">
        <v>335</v>
      </c>
      <c r="B186" s="98">
        <v>45636</v>
      </c>
      <c r="C186" s="11" t="s">
        <v>30</v>
      </c>
      <c r="D186" s="11" t="s">
        <v>106</v>
      </c>
      <c r="E186" s="138">
        <v>4000</v>
      </c>
      <c r="F186" s="11" t="s">
        <v>107</v>
      </c>
      <c r="G186" s="11" t="s">
        <v>158</v>
      </c>
      <c r="H186" s="11" t="s">
        <v>9</v>
      </c>
      <c r="I186" s="11" t="s">
        <v>131</v>
      </c>
      <c r="J186" s="11" t="s">
        <v>110</v>
      </c>
      <c r="K186" s="138">
        <v>4000</v>
      </c>
      <c r="L186" s="11" t="s">
        <v>111</v>
      </c>
      <c r="M186" s="11"/>
      <c r="N186" s="11"/>
    </row>
    <row r="187" spans="1:14">
      <c r="A187" s="10" t="s">
        <v>336</v>
      </c>
      <c r="B187" s="97">
        <v>45636</v>
      </c>
      <c r="C187" s="10" t="s">
        <v>36</v>
      </c>
      <c r="D187" s="10" t="s">
        <v>163</v>
      </c>
      <c r="E187" s="137">
        <v>7000</v>
      </c>
      <c r="F187" s="10" t="s">
        <v>107</v>
      </c>
      <c r="G187" s="10" t="s">
        <v>164</v>
      </c>
      <c r="H187" s="10" t="s">
        <v>9</v>
      </c>
      <c r="I187" s="10" t="s">
        <v>125</v>
      </c>
      <c r="J187" s="10" t="s">
        <v>110</v>
      </c>
      <c r="K187" s="137">
        <v>7000</v>
      </c>
      <c r="L187" s="10" t="s">
        <v>111</v>
      </c>
      <c r="M187" s="10"/>
      <c r="N187" s="10"/>
    </row>
    <row r="188" spans="1:14">
      <c r="A188" s="11" t="s">
        <v>337</v>
      </c>
      <c r="B188" s="98">
        <v>45636</v>
      </c>
      <c r="C188" s="11" t="s">
        <v>40</v>
      </c>
      <c r="D188" s="11" t="s">
        <v>163</v>
      </c>
      <c r="E188" s="138">
        <v>12000</v>
      </c>
      <c r="F188" s="11" t="s">
        <v>107</v>
      </c>
      <c r="G188" s="11" t="s">
        <v>171</v>
      </c>
      <c r="H188" s="11" t="s">
        <v>172</v>
      </c>
      <c r="I188" s="11" t="s">
        <v>173</v>
      </c>
      <c r="J188" s="11" t="s">
        <v>110</v>
      </c>
      <c r="K188" s="138">
        <v>12000</v>
      </c>
      <c r="L188" s="11" t="s">
        <v>111</v>
      </c>
      <c r="M188" s="11"/>
      <c r="N188" s="11"/>
    </row>
    <row r="189" spans="1:14">
      <c r="A189" s="10" t="s">
        <v>338</v>
      </c>
      <c r="B189" s="97">
        <v>45641</v>
      </c>
      <c r="C189" s="10" t="s">
        <v>43</v>
      </c>
      <c r="D189" s="10" t="s">
        <v>163</v>
      </c>
      <c r="E189" s="137">
        <v>15000</v>
      </c>
      <c r="F189" s="10" t="s">
        <v>107</v>
      </c>
      <c r="G189" s="10" t="s">
        <v>177</v>
      </c>
      <c r="H189" s="10" t="s">
        <v>9</v>
      </c>
      <c r="I189" s="10" t="s">
        <v>131</v>
      </c>
      <c r="J189" s="10" t="s">
        <v>110</v>
      </c>
      <c r="K189" s="137">
        <v>15000</v>
      </c>
      <c r="L189" s="10" t="s">
        <v>111</v>
      </c>
      <c r="M189" s="10"/>
      <c r="N189" s="10"/>
    </row>
    <row r="190" spans="1:14">
      <c r="A190" s="11" t="s">
        <v>339</v>
      </c>
      <c r="B190" s="98">
        <v>45641</v>
      </c>
      <c r="C190" s="11" t="s">
        <v>46</v>
      </c>
      <c r="D190" s="11" t="s">
        <v>187</v>
      </c>
      <c r="E190" s="138">
        <v>25000</v>
      </c>
      <c r="F190" s="11" t="s">
        <v>107</v>
      </c>
      <c r="G190" s="11" t="s">
        <v>188</v>
      </c>
      <c r="H190" s="11" t="s">
        <v>9</v>
      </c>
      <c r="I190" s="11" t="s">
        <v>125</v>
      </c>
      <c r="J190" s="11" t="s">
        <v>110</v>
      </c>
      <c r="K190" s="138">
        <v>25000</v>
      </c>
      <c r="L190" s="11" t="s">
        <v>111</v>
      </c>
      <c r="M190" s="11"/>
      <c r="N190" s="11"/>
    </row>
    <row r="191" spans="1:14">
      <c r="A191" s="10" t="s">
        <v>340</v>
      </c>
      <c r="B191" s="97">
        <v>45646</v>
      </c>
      <c r="C191" s="10" t="s">
        <v>49</v>
      </c>
      <c r="D191" s="10" t="s">
        <v>216</v>
      </c>
      <c r="E191" s="137">
        <v>3200</v>
      </c>
      <c r="F191" s="10" t="s">
        <v>107</v>
      </c>
      <c r="G191" s="10" t="s">
        <v>217</v>
      </c>
      <c r="H191" s="10" t="s">
        <v>9</v>
      </c>
      <c r="I191" s="10" t="s">
        <v>218</v>
      </c>
      <c r="J191" s="10" t="s">
        <v>110</v>
      </c>
      <c r="K191" s="137">
        <v>3200</v>
      </c>
      <c r="L191" s="10" t="s">
        <v>111</v>
      </c>
      <c r="M191" s="10"/>
      <c r="N191" s="10"/>
    </row>
    <row r="192" spans="1:14">
      <c r="A192" s="11" t="s">
        <v>341</v>
      </c>
      <c r="B192" s="98">
        <v>45646</v>
      </c>
      <c r="C192" s="11" t="s">
        <v>51</v>
      </c>
      <c r="D192" s="11" t="s">
        <v>113</v>
      </c>
      <c r="E192" s="138">
        <v>800</v>
      </c>
      <c r="F192" s="11" t="s">
        <v>107</v>
      </c>
      <c r="G192" s="11" t="s">
        <v>342</v>
      </c>
      <c r="H192" s="11" t="s">
        <v>9</v>
      </c>
      <c r="I192" s="11" t="s">
        <v>109</v>
      </c>
      <c r="J192" s="11" t="s">
        <v>115</v>
      </c>
      <c r="K192" s="138">
        <v>3700</v>
      </c>
      <c r="L192" s="11" t="s">
        <v>111</v>
      </c>
      <c r="M192" s="11"/>
      <c r="N192" s="11"/>
    </row>
    <row r="193" spans="1:14">
      <c r="A193" s="10" t="s">
        <v>343</v>
      </c>
      <c r="B193" s="97">
        <v>45646</v>
      </c>
      <c r="C193" s="10" t="s">
        <v>54</v>
      </c>
      <c r="D193" s="10" t="s">
        <v>166</v>
      </c>
      <c r="E193" s="137">
        <v>5000</v>
      </c>
      <c r="F193" s="10" t="s">
        <v>107</v>
      </c>
      <c r="G193" s="10" t="s">
        <v>344</v>
      </c>
      <c r="H193" s="10" t="s">
        <v>345</v>
      </c>
      <c r="I193" s="10" t="s">
        <v>346</v>
      </c>
      <c r="J193" s="10" t="s">
        <v>115</v>
      </c>
      <c r="K193" s="137">
        <v>15000</v>
      </c>
      <c r="L193" s="10" t="s">
        <v>111</v>
      </c>
      <c r="M193" s="10"/>
      <c r="N193" s="10"/>
    </row>
    <row r="194" spans="1:14">
      <c r="A194" s="11" t="s">
        <v>347</v>
      </c>
      <c r="B194" s="98">
        <v>45648</v>
      </c>
      <c r="C194" s="11" t="s">
        <v>59</v>
      </c>
      <c r="D194" s="11" t="s">
        <v>166</v>
      </c>
      <c r="E194" s="138">
        <v>10000</v>
      </c>
      <c r="F194" s="11" t="s">
        <v>107</v>
      </c>
      <c r="G194" s="11" t="s">
        <v>348</v>
      </c>
      <c r="H194" s="11" t="s">
        <v>9</v>
      </c>
      <c r="I194" s="11" t="s">
        <v>125</v>
      </c>
      <c r="J194" s="11" t="s">
        <v>115</v>
      </c>
      <c r="K194" s="138">
        <v>40000</v>
      </c>
      <c r="L194" s="11" t="s">
        <v>111</v>
      </c>
      <c r="M194" s="11"/>
      <c r="N194" s="11"/>
    </row>
    <row r="195" spans="1:14">
      <c r="A195" s="10" t="s">
        <v>349</v>
      </c>
      <c r="B195" s="97">
        <v>45648</v>
      </c>
      <c r="C195" s="10" t="s">
        <v>63</v>
      </c>
      <c r="D195" s="10" t="s">
        <v>113</v>
      </c>
      <c r="E195" s="137">
        <v>2000</v>
      </c>
      <c r="F195" s="10" t="s">
        <v>107</v>
      </c>
      <c r="G195" s="10" t="s">
        <v>350</v>
      </c>
      <c r="H195" s="10" t="s">
        <v>9</v>
      </c>
      <c r="I195" s="10" t="s">
        <v>109</v>
      </c>
      <c r="J195" s="10" t="s">
        <v>115</v>
      </c>
      <c r="K195" s="137">
        <v>8000</v>
      </c>
      <c r="L195" s="10" t="s">
        <v>111</v>
      </c>
      <c r="M195" s="10"/>
      <c r="N195" s="10"/>
    </row>
    <row r="196" spans="1:14">
      <c r="A196" s="11" t="s">
        <v>351</v>
      </c>
      <c r="B196" s="98">
        <v>45654</v>
      </c>
      <c r="C196" s="11" t="s">
        <v>66</v>
      </c>
      <c r="D196" s="11" t="s">
        <v>113</v>
      </c>
      <c r="E196" s="138">
        <v>500</v>
      </c>
      <c r="F196" s="11" t="s">
        <v>107</v>
      </c>
      <c r="G196" s="11" t="s">
        <v>342</v>
      </c>
      <c r="H196" s="11" t="s">
        <v>9</v>
      </c>
      <c r="I196" s="11" t="s">
        <v>131</v>
      </c>
      <c r="J196" s="11" t="s">
        <v>115</v>
      </c>
      <c r="K196" s="138">
        <v>14500</v>
      </c>
      <c r="L196" s="11" t="s">
        <v>111</v>
      </c>
      <c r="M196" s="11"/>
      <c r="N196" s="11"/>
    </row>
    <row r="197" spans="1:14">
      <c r="A197" s="10" t="s">
        <v>352</v>
      </c>
      <c r="B197" s="97">
        <v>45654</v>
      </c>
      <c r="C197" s="10" t="s">
        <v>70</v>
      </c>
      <c r="D197" s="10" t="s">
        <v>163</v>
      </c>
      <c r="E197" s="137">
        <v>35000</v>
      </c>
      <c r="F197" s="10" t="s">
        <v>107</v>
      </c>
      <c r="G197" s="10" t="s">
        <v>353</v>
      </c>
      <c r="H197" s="10" t="s">
        <v>9</v>
      </c>
      <c r="I197" s="10" t="s">
        <v>109</v>
      </c>
      <c r="J197" s="10" t="s">
        <v>110</v>
      </c>
      <c r="K197" s="137">
        <v>35000</v>
      </c>
      <c r="L197" s="10" t="s">
        <v>111</v>
      </c>
      <c r="M197" s="10"/>
      <c r="N197" s="10"/>
    </row>
    <row r="198" spans="1:14">
      <c r="A198" s="11" t="s">
        <v>354</v>
      </c>
      <c r="B198" s="98">
        <v>45654</v>
      </c>
      <c r="C198" s="11" t="s">
        <v>72</v>
      </c>
      <c r="D198" s="11" t="s">
        <v>187</v>
      </c>
      <c r="E198" s="138">
        <v>45000</v>
      </c>
      <c r="F198" s="11" t="s">
        <v>107</v>
      </c>
      <c r="G198" s="11" t="s">
        <v>264</v>
      </c>
      <c r="H198" s="11" t="s">
        <v>9</v>
      </c>
      <c r="I198" s="11" t="s">
        <v>125</v>
      </c>
      <c r="J198" s="11" t="s">
        <v>110</v>
      </c>
      <c r="K198" s="138">
        <v>45000</v>
      </c>
      <c r="L198" s="11" t="s">
        <v>111</v>
      </c>
      <c r="M198" s="11"/>
      <c r="N198" s="11"/>
    </row>
    <row r="199" spans="1:14">
      <c r="A199" s="10" t="s">
        <v>355</v>
      </c>
      <c r="B199" s="97">
        <v>45656</v>
      </c>
      <c r="C199" s="10" t="s">
        <v>86</v>
      </c>
      <c r="D199" s="10" t="s">
        <v>163</v>
      </c>
      <c r="E199" s="137">
        <v>100000</v>
      </c>
      <c r="F199" s="10" t="s">
        <v>107</v>
      </c>
      <c r="G199" s="10" t="s">
        <v>356</v>
      </c>
      <c r="H199" s="10" t="s">
        <v>9</v>
      </c>
      <c r="I199" s="10" t="s">
        <v>109</v>
      </c>
      <c r="J199" s="10" t="s">
        <v>110</v>
      </c>
      <c r="K199" s="137">
        <v>100000</v>
      </c>
      <c r="L199" s="10" t="s">
        <v>365</v>
      </c>
      <c r="M199" s="10" t="s">
        <v>732</v>
      </c>
      <c r="N199" s="10" t="s">
        <v>503</v>
      </c>
    </row>
    <row r="200" spans="1:14">
      <c r="A200" s="11" t="s">
        <v>357</v>
      </c>
      <c r="B200" s="98">
        <v>45656</v>
      </c>
      <c r="C200" s="11" t="s">
        <v>86</v>
      </c>
      <c r="D200" s="11" t="s">
        <v>358</v>
      </c>
      <c r="E200" s="138">
        <v>50000</v>
      </c>
      <c r="F200" s="11" t="s">
        <v>107</v>
      </c>
      <c r="G200" s="11" t="s">
        <v>359</v>
      </c>
      <c r="H200" s="11" t="s">
        <v>9</v>
      </c>
      <c r="I200" s="11" t="s">
        <v>109</v>
      </c>
      <c r="J200" s="11" t="s">
        <v>115</v>
      </c>
      <c r="K200" s="138">
        <v>50000</v>
      </c>
      <c r="L200" s="11" t="s">
        <v>365</v>
      </c>
      <c r="M200" s="11" t="s">
        <v>732</v>
      </c>
      <c r="N200" s="11" t="s">
        <v>503</v>
      </c>
    </row>
    <row r="201" spans="1:14">
      <c r="A201" s="99" t="s">
        <v>360</v>
      </c>
      <c r="B201" s="100">
        <v>45656</v>
      </c>
      <c r="C201" s="99" t="s">
        <v>90</v>
      </c>
      <c r="D201" s="99" t="s">
        <v>163</v>
      </c>
      <c r="E201" s="139">
        <v>75000</v>
      </c>
      <c r="F201" s="99" t="s">
        <v>107</v>
      </c>
      <c r="G201" s="99" t="s">
        <v>361</v>
      </c>
      <c r="H201" s="99" t="s">
        <v>362</v>
      </c>
      <c r="I201" s="99" t="s">
        <v>363</v>
      </c>
      <c r="J201" s="99" t="s">
        <v>110</v>
      </c>
      <c r="K201" s="139">
        <v>75000</v>
      </c>
      <c r="L201" s="99" t="s">
        <v>111</v>
      </c>
      <c r="M201" s="99"/>
      <c r="N201" s="99"/>
    </row>
  </sheetData>
  <conditionalFormatting sqref="A2:N201">
    <cfRule type="expression" dxfId="9" priority="1">
      <formula>$L2="YES"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F49BC-8CF9-C04F-86FC-E16CAA98EACE}">
  <dimension ref="A1:N49"/>
  <sheetViews>
    <sheetView showGridLines="0" workbookViewId="0">
      <pane ySplit="4" topLeftCell="A5" activePane="bottomLeft" state="frozen"/>
      <selection pane="bottomLeft" activeCell="N12" sqref="N12"/>
    </sheetView>
  </sheetViews>
  <sheetFormatPr baseColWidth="10" defaultRowHeight="16"/>
  <cols>
    <col min="1" max="1" width="19.33203125" customWidth="1"/>
    <col min="2" max="2" width="14.6640625" bestFit="1" customWidth="1"/>
    <col min="3" max="3" width="15.5" bestFit="1" customWidth="1"/>
    <col min="4" max="4" width="23.5" customWidth="1"/>
    <col min="5" max="5" width="29" bestFit="1" customWidth="1"/>
    <col min="6" max="6" width="23.33203125" bestFit="1" customWidth="1"/>
    <col min="7" max="7" width="19.83203125" bestFit="1" customWidth="1"/>
    <col min="8" max="8" width="15.33203125" bestFit="1" customWidth="1"/>
    <col min="9" max="9" width="13.1640625" customWidth="1"/>
    <col min="10" max="11" width="15" bestFit="1" customWidth="1"/>
    <col min="12" max="12" width="17.33203125" bestFit="1" customWidth="1"/>
    <col min="13" max="13" width="11.5" bestFit="1" customWidth="1"/>
    <col min="14" max="14" width="43.83203125" customWidth="1"/>
  </cols>
  <sheetData>
    <row r="1" spans="1:14" ht="19">
      <c r="A1" s="102" t="s">
        <v>450</v>
      </c>
      <c r="B1" s="102"/>
      <c r="C1" s="102"/>
      <c r="D1" s="102"/>
    </row>
    <row r="2" spans="1:14">
      <c r="A2" s="13" t="s">
        <v>451</v>
      </c>
      <c r="B2" s="13"/>
    </row>
    <row r="4" spans="1:14">
      <c r="A4" s="14" t="s">
        <v>452</v>
      </c>
      <c r="B4" s="14" t="s">
        <v>453</v>
      </c>
      <c r="C4" s="14" t="s">
        <v>454</v>
      </c>
      <c r="D4" s="14" t="s">
        <v>574</v>
      </c>
      <c r="E4" s="14" t="s">
        <v>456</v>
      </c>
      <c r="F4" s="14" t="s">
        <v>457</v>
      </c>
      <c r="G4" s="14" t="s">
        <v>458</v>
      </c>
      <c r="H4" s="14" t="s">
        <v>459</v>
      </c>
      <c r="I4" s="14" t="s">
        <v>460</v>
      </c>
      <c r="J4" s="14" t="s">
        <v>461</v>
      </c>
      <c r="K4" s="14" t="s">
        <v>462</v>
      </c>
      <c r="L4" s="14" t="s">
        <v>463</v>
      </c>
      <c r="M4" s="14" t="s">
        <v>464</v>
      </c>
      <c r="N4" s="14" t="s">
        <v>465</v>
      </c>
    </row>
    <row r="5" spans="1:14" ht="40">
      <c r="A5" s="81" t="s">
        <v>367</v>
      </c>
      <c r="B5" s="95">
        <v>45358</v>
      </c>
      <c r="C5" s="81" t="s">
        <v>58</v>
      </c>
      <c r="D5" s="81" t="s">
        <v>50</v>
      </c>
      <c r="E5" s="81" t="s">
        <v>466</v>
      </c>
      <c r="F5" s="81" t="s">
        <v>467</v>
      </c>
      <c r="G5" s="81" t="s">
        <v>468</v>
      </c>
      <c r="H5" s="122">
        <v>28500</v>
      </c>
      <c r="I5" s="101" t="s">
        <v>469</v>
      </c>
      <c r="J5" s="81" t="s">
        <v>735</v>
      </c>
      <c r="K5" s="95">
        <v>45366</v>
      </c>
      <c r="L5" s="123" t="s">
        <v>470</v>
      </c>
      <c r="M5" s="15" t="s">
        <v>365</v>
      </c>
      <c r="N5" s="80" t="s">
        <v>471</v>
      </c>
    </row>
    <row r="6" spans="1:14" ht="60">
      <c r="A6" s="82" t="s">
        <v>376</v>
      </c>
      <c r="B6" s="96">
        <v>45398</v>
      </c>
      <c r="C6" s="82" t="s">
        <v>24</v>
      </c>
      <c r="D6" s="82" t="s">
        <v>25</v>
      </c>
      <c r="E6" s="82" t="s">
        <v>472</v>
      </c>
      <c r="F6" s="82" t="s">
        <v>473</v>
      </c>
      <c r="G6" s="82" t="s">
        <v>474</v>
      </c>
      <c r="H6" s="122">
        <v>45000</v>
      </c>
      <c r="I6" s="101" t="s">
        <v>469</v>
      </c>
      <c r="J6" s="82" t="s">
        <v>735</v>
      </c>
      <c r="K6" s="96">
        <v>45407</v>
      </c>
      <c r="L6" s="123" t="s">
        <v>470</v>
      </c>
      <c r="M6" s="15" t="s">
        <v>365</v>
      </c>
      <c r="N6" s="80" t="s">
        <v>475</v>
      </c>
    </row>
    <row r="7" spans="1:14" ht="40">
      <c r="A7" s="81" t="s">
        <v>388</v>
      </c>
      <c r="B7" s="95">
        <v>45434</v>
      </c>
      <c r="C7" s="81" t="s">
        <v>40</v>
      </c>
      <c r="D7" s="81" t="s">
        <v>42</v>
      </c>
      <c r="E7" s="81" t="s">
        <v>476</v>
      </c>
      <c r="F7" s="81" t="s">
        <v>477</v>
      </c>
      <c r="G7" s="81" t="s">
        <v>382</v>
      </c>
      <c r="H7" s="122">
        <v>28000</v>
      </c>
      <c r="I7" s="101" t="s">
        <v>469</v>
      </c>
      <c r="J7" s="81" t="s">
        <v>735</v>
      </c>
      <c r="K7" s="95">
        <v>45442</v>
      </c>
      <c r="L7" s="123" t="s">
        <v>470</v>
      </c>
      <c r="M7" s="15" t="s">
        <v>365</v>
      </c>
      <c r="N7" s="80" t="s">
        <v>478</v>
      </c>
    </row>
    <row r="8" spans="1:14" ht="60">
      <c r="A8" s="82" t="s">
        <v>393</v>
      </c>
      <c r="B8" s="96">
        <v>45453</v>
      </c>
      <c r="C8" s="82" t="s">
        <v>75</v>
      </c>
      <c r="D8" s="82" t="s">
        <v>76</v>
      </c>
      <c r="E8" s="82" t="s">
        <v>479</v>
      </c>
      <c r="F8" s="82" t="s">
        <v>480</v>
      </c>
      <c r="G8" s="82" t="s">
        <v>481</v>
      </c>
      <c r="H8" s="122">
        <v>75000</v>
      </c>
      <c r="I8" s="101" t="s">
        <v>469</v>
      </c>
      <c r="J8" s="82" t="s">
        <v>735</v>
      </c>
      <c r="K8" s="96">
        <v>45463</v>
      </c>
      <c r="L8" s="123" t="s">
        <v>470</v>
      </c>
      <c r="M8" s="15" t="s">
        <v>365</v>
      </c>
      <c r="N8" s="80" t="s">
        <v>482</v>
      </c>
    </row>
    <row r="9" spans="1:14" ht="60">
      <c r="A9" s="81" t="s">
        <v>402</v>
      </c>
      <c r="B9" s="95">
        <v>45491</v>
      </c>
      <c r="C9" s="81" t="s">
        <v>66</v>
      </c>
      <c r="D9" s="81" t="s">
        <v>67</v>
      </c>
      <c r="E9" s="81" t="s">
        <v>483</v>
      </c>
      <c r="F9" s="81" t="s">
        <v>484</v>
      </c>
      <c r="G9" s="81" t="s">
        <v>397</v>
      </c>
      <c r="H9" s="122">
        <v>120000</v>
      </c>
      <c r="I9" s="101" t="s">
        <v>469</v>
      </c>
      <c r="J9" s="81" t="s">
        <v>735</v>
      </c>
      <c r="K9" s="81"/>
      <c r="L9" s="124" t="s">
        <v>485</v>
      </c>
      <c r="M9" s="16" t="s">
        <v>111</v>
      </c>
      <c r="N9" s="80" t="s">
        <v>486</v>
      </c>
    </row>
    <row r="10" spans="1:14" ht="80">
      <c r="A10" s="82" t="s">
        <v>405</v>
      </c>
      <c r="B10" s="96">
        <v>45513</v>
      </c>
      <c r="C10" s="82" t="s">
        <v>68</v>
      </c>
      <c r="D10" s="82" t="s">
        <v>42</v>
      </c>
      <c r="E10" s="82" t="s">
        <v>487</v>
      </c>
      <c r="F10" s="82" t="s">
        <v>488</v>
      </c>
      <c r="G10" s="82" t="s">
        <v>489</v>
      </c>
      <c r="H10" s="122">
        <v>30000</v>
      </c>
      <c r="I10" s="101" t="s">
        <v>469</v>
      </c>
      <c r="J10" s="82" t="s">
        <v>735</v>
      </c>
      <c r="K10" s="96">
        <v>45524</v>
      </c>
      <c r="L10" s="125" t="s">
        <v>490</v>
      </c>
      <c r="M10" s="16" t="s">
        <v>111</v>
      </c>
      <c r="N10" s="80" t="s">
        <v>491</v>
      </c>
    </row>
    <row r="11" spans="1:14" ht="60">
      <c r="A11" s="81" t="s">
        <v>409</v>
      </c>
      <c r="B11" s="95">
        <v>45549</v>
      </c>
      <c r="C11" s="81" t="s">
        <v>49</v>
      </c>
      <c r="D11" s="81" t="s">
        <v>50</v>
      </c>
      <c r="E11" s="81" t="s">
        <v>492</v>
      </c>
      <c r="F11" s="81" t="s">
        <v>493</v>
      </c>
      <c r="G11" s="81" t="s">
        <v>407</v>
      </c>
      <c r="H11" s="122">
        <v>18000</v>
      </c>
      <c r="I11" s="15" t="s">
        <v>494</v>
      </c>
      <c r="J11" s="81" t="s">
        <v>735</v>
      </c>
      <c r="K11" s="95">
        <v>45560</v>
      </c>
      <c r="L11" s="125" t="s">
        <v>490</v>
      </c>
      <c r="M11" s="16" t="s">
        <v>111</v>
      </c>
      <c r="N11" s="80" t="s">
        <v>495</v>
      </c>
    </row>
    <row r="12" spans="1:14" ht="80">
      <c r="A12" s="82" t="s">
        <v>414</v>
      </c>
      <c r="B12" s="96">
        <v>45586</v>
      </c>
      <c r="C12" s="82" t="s">
        <v>83</v>
      </c>
      <c r="D12" s="82" t="s">
        <v>85</v>
      </c>
      <c r="E12" s="82" t="s">
        <v>496</v>
      </c>
      <c r="F12" s="82" t="s">
        <v>497</v>
      </c>
      <c r="G12" s="82" t="s">
        <v>498</v>
      </c>
      <c r="H12" s="122">
        <v>23500</v>
      </c>
      <c r="I12" s="15" t="s">
        <v>499</v>
      </c>
      <c r="J12" s="82" t="s">
        <v>735</v>
      </c>
      <c r="K12" s="96">
        <v>45616</v>
      </c>
      <c r="L12" s="123" t="s">
        <v>470</v>
      </c>
      <c r="M12" s="15" t="s">
        <v>365</v>
      </c>
      <c r="N12" s="80" t="s">
        <v>500</v>
      </c>
    </row>
    <row r="13" spans="1:14" ht="80">
      <c r="A13" s="81" t="s">
        <v>420</v>
      </c>
      <c r="B13" s="95">
        <v>45599</v>
      </c>
      <c r="C13" s="81" t="s">
        <v>49</v>
      </c>
      <c r="D13" s="81" t="s">
        <v>50</v>
      </c>
      <c r="E13" s="81" t="s">
        <v>466</v>
      </c>
      <c r="F13" s="81" t="s">
        <v>467</v>
      </c>
      <c r="G13" s="81" t="s">
        <v>419</v>
      </c>
      <c r="H13" s="122">
        <v>9700</v>
      </c>
      <c r="I13" s="15" t="s">
        <v>494</v>
      </c>
      <c r="J13" s="81" t="s">
        <v>735</v>
      </c>
      <c r="K13" s="95">
        <v>45608</v>
      </c>
      <c r="L13" s="126" t="s">
        <v>501</v>
      </c>
      <c r="M13" s="16" t="s">
        <v>111</v>
      </c>
      <c r="N13" s="80" t="s">
        <v>502</v>
      </c>
    </row>
    <row r="14" spans="1:14" ht="80">
      <c r="A14" s="82" t="s">
        <v>503</v>
      </c>
      <c r="B14" s="96">
        <v>45656</v>
      </c>
      <c r="C14" s="82" t="s">
        <v>86</v>
      </c>
      <c r="D14" s="82" t="s">
        <v>89</v>
      </c>
      <c r="E14" s="82" t="s">
        <v>504</v>
      </c>
      <c r="F14" s="82" t="s">
        <v>736</v>
      </c>
      <c r="G14" s="82" t="s">
        <v>505</v>
      </c>
      <c r="H14" s="122">
        <v>100000</v>
      </c>
      <c r="I14" s="101" t="s">
        <v>469</v>
      </c>
      <c r="J14" s="82" t="s">
        <v>735</v>
      </c>
      <c r="K14" s="82"/>
      <c r="L14" s="124" t="s">
        <v>485</v>
      </c>
      <c r="M14" s="16" t="s">
        <v>111</v>
      </c>
      <c r="N14" s="80" t="s">
        <v>506</v>
      </c>
    </row>
    <row r="17" spans="1:11" ht="19">
      <c r="A17" s="103" t="s">
        <v>507</v>
      </c>
      <c r="B17" s="103"/>
      <c r="C17" s="103"/>
    </row>
    <row r="18" spans="1:11" ht="19">
      <c r="A18" s="103" t="s">
        <v>508</v>
      </c>
      <c r="B18" s="103"/>
      <c r="C18" s="103"/>
      <c r="E18" s="102" t="s">
        <v>517</v>
      </c>
      <c r="F18" s="102"/>
      <c r="I18" s="103" t="s">
        <v>518</v>
      </c>
      <c r="J18" s="103"/>
      <c r="K18" s="103"/>
    </row>
    <row r="19" spans="1:11" ht="19">
      <c r="A19" s="104" t="s">
        <v>509</v>
      </c>
      <c r="B19" s="104"/>
      <c r="C19" s="18">
        <f>COUNTA(A5:A14)</f>
        <v>10</v>
      </c>
      <c r="E19" s="22" t="s">
        <v>499</v>
      </c>
      <c r="F19" s="19">
        <f>COUNTIF(I5:I14,"CRITICAL")</f>
        <v>1</v>
      </c>
      <c r="I19" s="104" t="s">
        <v>519</v>
      </c>
      <c r="J19" s="104"/>
      <c r="K19" s="18">
        <f>COUNTIF(M5:M14,"YES")</f>
        <v>5</v>
      </c>
    </row>
    <row r="20" spans="1:11" ht="19">
      <c r="A20" s="104" t="s">
        <v>510</v>
      </c>
      <c r="B20" s="104"/>
      <c r="C20" s="18">
        <f>COUNTIF(L5:L14,"TRUE POSITIVE")</f>
        <v>5</v>
      </c>
      <c r="E20" s="22" t="s">
        <v>469</v>
      </c>
      <c r="F20" s="20">
        <f>COUNTIF(I5:I14,"HIGH")</f>
        <v>7</v>
      </c>
      <c r="I20" s="104" t="s">
        <v>520</v>
      </c>
      <c r="J20" s="104"/>
      <c r="K20" s="121">
        <f>COUNTIF(M5:M14,"YES")/COUNTA(M5:M14)</f>
        <v>0.5</v>
      </c>
    </row>
    <row r="21" spans="1:11" ht="19">
      <c r="A21" s="104" t="s">
        <v>511</v>
      </c>
      <c r="B21" s="104"/>
      <c r="C21" s="18">
        <f>COUNTIF(L5:L14,"FALSE POSITIVE")</f>
        <v>2</v>
      </c>
      <c r="E21" s="22" t="s">
        <v>494</v>
      </c>
      <c r="F21" s="21">
        <f>COUNTIF(I5:I14,"MEDIUM")</f>
        <v>2</v>
      </c>
      <c r="I21" s="104" t="s">
        <v>521</v>
      </c>
      <c r="J21" s="104"/>
      <c r="K21" s="18">
        <f>AVERAGEIF(L5:L14,"TRUE POSITIVE",K5:K14)-AVERAGEIF(L5:L14,"TRUE POSITIVE",B5:B14)</f>
        <v>13</v>
      </c>
    </row>
    <row r="22" spans="1:11" ht="19">
      <c r="A22" s="104" t="s">
        <v>512</v>
      </c>
      <c r="B22" s="104"/>
      <c r="C22" s="18">
        <f>COUNTIF(L5:L14,"PENDING")</f>
        <v>2</v>
      </c>
      <c r="I22" s="104" t="s">
        <v>522</v>
      </c>
      <c r="J22" s="104"/>
      <c r="K22" s="18">
        <f>COUNTIF(E5:E14,"Sanctions Screening")</f>
        <v>1</v>
      </c>
    </row>
    <row r="23" spans="1:11" ht="19">
      <c r="A23" s="104" t="s">
        <v>513</v>
      </c>
      <c r="B23" s="104"/>
      <c r="C23" s="18">
        <f>COUNTIF(L5:L14,"WHITELISTED")</f>
        <v>1</v>
      </c>
    </row>
    <row r="24" spans="1:11" ht="19">
      <c r="A24" s="104" t="s">
        <v>514</v>
      </c>
      <c r="B24" s="104"/>
      <c r="C24" s="18">
        <f>COUNTIF(M5:M14,"YES")</f>
        <v>5</v>
      </c>
    </row>
    <row r="25" spans="1:11" ht="19">
      <c r="A25" s="104" t="s">
        <v>515</v>
      </c>
      <c r="B25" s="104"/>
      <c r="C25" s="121">
        <f>COUNTIF(L5:L14,"FALSE POSITIVE")/COUNTA(L5:L14)</f>
        <v>0.2</v>
      </c>
    </row>
    <row r="26" spans="1:11" ht="19">
      <c r="A26" s="104" t="s">
        <v>516</v>
      </c>
      <c r="B26" s="104"/>
      <c r="C26" s="18">
        <f>COUNTIF(I5:I14,"CRITICAL")</f>
        <v>1</v>
      </c>
    </row>
    <row r="27" spans="1:11" ht="19">
      <c r="A27" s="79"/>
      <c r="B27" s="79"/>
      <c r="C27" s="78"/>
    </row>
    <row r="28" spans="1:11" ht="19">
      <c r="A28" s="79"/>
      <c r="B28" s="79"/>
      <c r="C28" s="78"/>
    </row>
    <row r="30" spans="1:11" ht="19">
      <c r="A30" s="17" t="s">
        <v>470</v>
      </c>
      <c r="B30" s="17">
        <f>COUNTIF(L5:L14,"TRUE POSITIVE")</f>
        <v>5</v>
      </c>
    </row>
    <row r="31" spans="1:11" ht="19">
      <c r="A31" s="17" t="s">
        <v>490</v>
      </c>
      <c r="B31" s="17">
        <f>COUNTIF(L5:L14,"FALSE POSITIVE")</f>
        <v>2</v>
      </c>
    </row>
    <row r="32" spans="1:11" ht="19">
      <c r="A32" s="17" t="s">
        <v>485</v>
      </c>
      <c r="B32" s="17">
        <f>COUNTIF(L5:L14,"PENDING")</f>
        <v>2</v>
      </c>
    </row>
    <row r="33" spans="1:2" ht="19">
      <c r="A33" s="17" t="s">
        <v>501</v>
      </c>
      <c r="B33" s="17">
        <f>COUNTIF(L5:L14,"WHITELISTED")</f>
        <v>1</v>
      </c>
    </row>
    <row r="49" spans="1:12">
      <c r="A49" s="105" t="s">
        <v>728</v>
      </c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</row>
  </sheetData>
  <mergeCells count="18">
    <mergeCell ref="I22:J22"/>
    <mergeCell ref="A49:L49"/>
    <mergeCell ref="E18:F18"/>
    <mergeCell ref="I18:K18"/>
    <mergeCell ref="I19:J19"/>
    <mergeCell ref="I20:J20"/>
    <mergeCell ref="I21:J21"/>
    <mergeCell ref="A21:B21"/>
    <mergeCell ref="A22:B22"/>
    <mergeCell ref="A23:B23"/>
    <mergeCell ref="A24:B24"/>
    <mergeCell ref="A25:B25"/>
    <mergeCell ref="A26:B26"/>
    <mergeCell ref="A1:D1"/>
    <mergeCell ref="A17:C17"/>
    <mergeCell ref="A18:C18"/>
    <mergeCell ref="A19:B19"/>
    <mergeCell ref="A20:B20"/>
  </mergeCells>
  <conditionalFormatting sqref="I5:I14">
    <cfRule type="containsText" dxfId="8" priority="8" operator="containsText" text="MEDIUM">
      <formula>NOT(ISERROR(SEARCH("MEDIUM",I5)))</formula>
    </cfRule>
    <cfRule type="containsText" dxfId="7" priority="9" operator="containsText" text="HIGH">
      <formula>NOT(ISERROR(SEARCH("HIGH",I5)))</formula>
    </cfRule>
    <cfRule type="containsText" dxfId="6" priority="10" operator="containsText" text="CRITICAL">
      <formula>NOT(ISERROR(SEARCH("CRITICAL",I5)))</formula>
    </cfRule>
  </conditionalFormatting>
  <conditionalFormatting sqref="L4:L14">
    <cfRule type="containsText" dxfId="5" priority="2" operator="containsText" text="WHITELISTED">
      <formula>NOT(ISERROR(SEARCH("WHITELISTED",L4)))</formula>
    </cfRule>
  </conditionalFormatting>
  <conditionalFormatting sqref="L5:L14">
    <cfRule type="containsText" dxfId="4" priority="3" operator="containsText" text="PENDING">
      <formula>NOT(ISERROR(SEARCH("PENDING",L5)))</formula>
    </cfRule>
    <cfRule type="timePeriod" dxfId="3" priority="4" timePeriod="yesterday">
      <formula>FLOOR(L5,1)=TODAY()-1</formula>
    </cfRule>
    <cfRule type="containsText" dxfId="2" priority="5" operator="containsText" text="FALSE POSITIVE">
      <formula>NOT(ISERROR(SEARCH("FALSE POSITIVE",L5)))</formula>
    </cfRule>
    <cfRule type="containsText" dxfId="1" priority="6" operator="containsText" text="TRUE POSITIVE">
      <formula>NOT(ISERROR(SEARCH("TRUE POSITIVE",L5)))</formula>
    </cfRule>
  </conditionalFormatting>
  <conditionalFormatting sqref="M5:M14">
    <cfRule type="containsText" dxfId="0" priority="1" operator="containsText" text="YES">
      <formula>NOT(ISERROR(SEARCH("YES",M5)))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F94B-5321-E846-AB01-D06D050A2CA8}">
  <dimension ref="A1:K59"/>
  <sheetViews>
    <sheetView showGridLines="0" topLeftCell="A63" workbookViewId="0">
      <selection activeCell="E30" sqref="E30"/>
    </sheetView>
  </sheetViews>
  <sheetFormatPr baseColWidth="10" defaultRowHeight="16"/>
  <cols>
    <col min="1" max="1" width="30.5" customWidth="1"/>
    <col min="2" max="2" width="20.83203125" customWidth="1"/>
    <col min="3" max="3" width="44.6640625" customWidth="1"/>
    <col min="4" max="4" width="27.33203125" customWidth="1"/>
    <col min="5" max="5" width="18.5" customWidth="1"/>
    <col min="6" max="6" width="15.1640625" bestFit="1" customWidth="1"/>
    <col min="7" max="7" width="13.33203125" bestFit="1" customWidth="1"/>
    <col min="8" max="8" width="15" bestFit="1" customWidth="1"/>
    <col min="9" max="9" width="13.5" bestFit="1" customWidth="1"/>
    <col min="10" max="10" width="14.33203125" customWidth="1"/>
    <col min="11" max="11" width="16.33203125" customWidth="1"/>
  </cols>
  <sheetData>
    <row r="1" spans="1:10" ht="19">
      <c r="A1" s="102" t="s">
        <v>523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>
      <c r="A2" s="25" t="s">
        <v>524</v>
      </c>
      <c r="B2" s="24"/>
      <c r="C2" s="24"/>
      <c r="D2" s="24"/>
      <c r="E2" s="24"/>
      <c r="F2" s="24"/>
      <c r="G2" s="24"/>
      <c r="H2" s="24"/>
      <c r="I2" s="24"/>
      <c r="J2" s="24"/>
    </row>
    <row r="4" spans="1:10" ht="19">
      <c r="A4" s="108" t="s">
        <v>525</v>
      </c>
      <c r="B4" s="109"/>
      <c r="C4" s="109"/>
      <c r="D4" s="109"/>
      <c r="E4" s="110"/>
      <c r="F4" s="26"/>
      <c r="G4" s="26"/>
      <c r="H4" s="26"/>
      <c r="I4" s="26"/>
      <c r="J4" s="26"/>
    </row>
    <row r="5" spans="1:10" ht="19">
      <c r="A5" s="36" t="s">
        <v>526</v>
      </c>
      <c r="B5" s="36" t="s">
        <v>527</v>
      </c>
      <c r="C5" s="36" t="s">
        <v>528</v>
      </c>
      <c r="D5" s="36" t="s">
        <v>529</v>
      </c>
      <c r="E5" s="36" t="s">
        <v>530</v>
      </c>
    </row>
    <row r="6" spans="1:10" ht="68">
      <c r="A6" s="27" t="s">
        <v>531</v>
      </c>
      <c r="B6" s="28" t="s">
        <v>532</v>
      </c>
      <c r="C6" s="29" t="s">
        <v>734</v>
      </c>
      <c r="D6" s="28" t="s">
        <v>533</v>
      </c>
      <c r="E6" s="29" t="s">
        <v>534</v>
      </c>
    </row>
    <row r="7" spans="1:10" ht="85">
      <c r="A7" s="30" t="s">
        <v>535</v>
      </c>
      <c r="B7" s="31" t="s">
        <v>536</v>
      </c>
      <c r="C7" s="32" t="s">
        <v>537</v>
      </c>
      <c r="D7" s="31" t="s">
        <v>538</v>
      </c>
      <c r="E7" s="32" t="s">
        <v>539</v>
      </c>
    </row>
    <row r="8" spans="1:10" ht="85">
      <c r="A8" s="33" t="s">
        <v>540</v>
      </c>
      <c r="B8" s="34" t="s">
        <v>541</v>
      </c>
      <c r="C8" s="35" t="s">
        <v>542</v>
      </c>
      <c r="D8" s="34" t="s">
        <v>543</v>
      </c>
      <c r="E8" s="35" t="s">
        <v>544</v>
      </c>
    </row>
    <row r="10" spans="1:10" ht="19">
      <c r="A10" s="111" t="s">
        <v>545</v>
      </c>
      <c r="B10" s="111"/>
      <c r="C10" s="111"/>
      <c r="D10" s="111"/>
    </row>
    <row r="11" spans="1:10">
      <c r="A11" s="106" t="s">
        <v>723</v>
      </c>
      <c r="B11" s="106"/>
      <c r="C11" s="106"/>
      <c r="D11" s="106"/>
    </row>
    <row r="12" spans="1:10" ht="19">
      <c r="A12" s="37" t="s">
        <v>546</v>
      </c>
      <c r="B12" s="37" t="s">
        <v>547</v>
      </c>
      <c r="C12" s="37" t="s">
        <v>548</v>
      </c>
      <c r="D12" s="37" t="s">
        <v>549</v>
      </c>
    </row>
    <row r="13" spans="1:10" ht="34">
      <c r="A13" s="40" t="s">
        <v>550</v>
      </c>
      <c r="B13" s="41">
        <v>30</v>
      </c>
      <c r="C13" s="46" t="s">
        <v>551</v>
      </c>
      <c r="D13" s="42">
        <v>0.3</v>
      </c>
    </row>
    <row r="14" spans="1:10" ht="51">
      <c r="A14" s="43" t="s">
        <v>552</v>
      </c>
      <c r="B14" s="44">
        <v>25</v>
      </c>
      <c r="C14" s="47" t="s">
        <v>553</v>
      </c>
      <c r="D14" s="45">
        <v>0.25</v>
      </c>
    </row>
    <row r="15" spans="1:10" ht="51">
      <c r="A15" s="40" t="s">
        <v>554</v>
      </c>
      <c r="B15" s="41">
        <v>20</v>
      </c>
      <c r="C15" s="46" t="s">
        <v>555</v>
      </c>
      <c r="D15" s="42">
        <v>0.2</v>
      </c>
    </row>
    <row r="16" spans="1:10" ht="51">
      <c r="A16" s="43" t="s">
        <v>556</v>
      </c>
      <c r="B16" s="44">
        <v>15</v>
      </c>
      <c r="C16" s="47" t="s">
        <v>557</v>
      </c>
      <c r="D16" s="45">
        <v>0.15</v>
      </c>
    </row>
    <row r="17" spans="1:11" ht="34">
      <c r="A17" s="40" t="s">
        <v>558</v>
      </c>
      <c r="B17" s="41">
        <v>10</v>
      </c>
      <c r="C17" s="46" t="s">
        <v>559</v>
      </c>
      <c r="D17" s="42">
        <v>0.1</v>
      </c>
    </row>
    <row r="18" spans="1:11" ht="19">
      <c r="A18" s="37" t="s">
        <v>560</v>
      </c>
      <c r="B18" s="38">
        <v>100</v>
      </c>
      <c r="C18" s="37"/>
      <c r="D18" s="39">
        <v>1</v>
      </c>
    </row>
    <row r="20" spans="1:11" ht="19">
      <c r="A20" s="107" t="s">
        <v>561</v>
      </c>
      <c r="B20" s="107"/>
      <c r="C20" s="107"/>
      <c r="D20" s="107"/>
    </row>
    <row r="21" spans="1:11" ht="19">
      <c r="A21" s="48" t="s">
        <v>562</v>
      </c>
      <c r="B21" s="48" t="s">
        <v>526</v>
      </c>
      <c r="C21" s="48" t="s">
        <v>563</v>
      </c>
      <c r="D21" s="48" t="s">
        <v>564</v>
      </c>
    </row>
    <row r="22" spans="1:11" ht="64" customHeight="1">
      <c r="A22" s="49" t="s">
        <v>724</v>
      </c>
      <c r="B22" s="49" t="s">
        <v>82</v>
      </c>
      <c r="C22" s="50" t="s">
        <v>569</v>
      </c>
      <c r="D22" s="51" t="s">
        <v>570</v>
      </c>
    </row>
    <row r="23" spans="1:11" ht="51">
      <c r="A23" s="52" t="s">
        <v>725</v>
      </c>
      <c r="B23" s="52" t="s">
        <v>12</v>
      </c>
      <c r="C23" s="53" t="s">
        <v>494</v>
      </c>
      <c r="D23" s="54" t="s">
        <v>568</v>
      </c>
    </row>
    <row r="24" spans="1:11" ht="51">
      <c r="A24" s="55" t="s">
        <v>726</v>
      </c>
      <c r="B24" s="55" t="s">
        <v>57</v>
      </c>
      <c r="C24" s="56" t="s">
        <v>469</v>
      </c>
      <c r="D24" s="57" t="s">
        <v>567</v>
      </c>
    </row>
    <row r="25" spans="1:11" ht="68">
      <c r="A25" s="58" t="s">
        <v>727</v>
      </c>
      <c r="B25" s="58" t="s">
        <v>565</v>
      </c>
      <c r="C25" s="59" t="s">
        <v>499</v>
      </c>
      <c r="D25" s="60" t="s">
        <v>566</v>
      </c>
    </row>
    <row r="27" spans="1:11" ht="19">
      <c r="A27" s="48" t="s">
        <v>571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</row>
    <row r="28" spans="1:11">
      <c r="A28" s="106" t="s">
        <v>572</v>
      </c>
      <c r="B28" s="106"/>
      <c r="C28" s="106"/>
      <c r="D28" s="106"/>
      <c r="E28" s="106"/>
      <c r="F28" s="106"/>
      <c r="G28" s="106"/>
      <c r="H28" s="106"/>
      <c r="I28" s="106"/>
      <c r="J28" s="106"/>
      <c r="K28" s="106"/>
    </row>
    <row r="29" spans="1:11" ht="19">
      <c r="A29" s="48" t="s">
        <v>454</v>
      </c>
      <c r="B29" s="48" t="s">
        <v>455</v>
      </c>
      <c r="C29" s="48" t="s">
        <v>573</v>
      </c>
      <c r="D29" s="48" t="s">
        <v>574</v>
      </c>
      <c r="E29" s="48" t="s">
        <v>575</v>
      </c>
      <c r="F29" s="48" t="s">
        <v>528</v>
      </c>
      <c r="G29" s="48" t="s">
        <v>576</v>
      </c>
      <c r="H29" s="48" t="s">
        <v>577</v>
      </c>
      <c r="I29" s="48" t="s">
        <v>578</v>
      </c>
      <c r="J29" s="48" t="s">
        <v>579</v>
      </c>
      <c r="K29" s="48" t="s">
        <v>580</v>
      </c>
    </row>
    <row r="30" spans="1:11">
      <c r="A30" s="140" t="s">
        <v>6</v>
      </c>
      <c r="B30" s="141" t="s">
        <v>7</v>
      </c>
      <c r="C30" s="141" t="s">
        <v>8</v>
      </c>
      <c r="D30" s="141" t="s">
        <v>10</v>
      </c>
      <c r="E30" s="141">
        <v>3</v>
      </c>
      <c r="F30" s="141">
        <v>0</v>
      </c>
      <c r="G30" s="141">
        <v>0</v>
      </c>
      <c r="H30" s="141">
        <v>0</v>
      </c>
      <c r="I30" s="141">
        <v>0</v>
      </c>
      <c r="J30" s="141">
        <f>SUM(E30:I30)</f>
        <v>3</v>
      </c>
      <c r="K30" s="142" t="str">
        <f>IF(J30&gt;=76,"EDD Urgent",IF(J30&gt;=51,"EDD",IF(J30&gt;=21,"CDD","SDD")))</f>
        <v>SDD</v>
      </c>
    </row>
    <row r="31" spans="1:11">
      <c r="A31" s="61" t="s">
        <v>14</v>
      </c>
      <c r="B31" s="62" t="s">
        <v>7</v>
      </c>
      <c r="C31" s="62" t="s">
        <v>8</v>
      </c>
      <c r="D31" s="62" t="s">
        <v>15</v>
      </c>
      <c r="E31" s="62">
        <v>3</v>
      </c>
      <c r="F31" s="62">
        <v>0</v>
      </c>
      <c r="G31" s="62">
        <v>0</v>
      </c>
      <c r="H31" s="62">
        <v>0</v>
      </c>
      <c r="I31" s="62">
        <v>0</v>
      </c>
      <c r="J31" s="62">
        <f t="shared" ref="J31:J59" si="0">SUM(E31:I31)</f>
        <v>3</v>
      </c>
      <c r="K31" s="142" t="str">
        <f t="shared" ref="K31:K59" si="1">IF(J31&gt;=76,"EDD Urgent",IF(J31&gt;=51,"EDD",IF(J31&gt;=21,"CDD","SDD")))</f>
        <v>SDD</v>
      </c>
    </row>
    <row r="32" spans="1:11">
      <c r="A32" s="140" t="s">
        <v>16</v>
      </c>
      <c r="B32" s="141" t="s">
        <v>7</v>
      </c>
      <c r="C32" s="141" t="s">
        <v>8</v>
      </c>
      <c r="D32" s="141" t="s">
        <v>17</v>
      </c>
      <c r="E32" s="141">
        <v>3</v>
      </c>
      <c r="F32" s="141">
        <v>0</v>
      </c>
      <c r="G32" s="141">
        <v>0</v>
      </c>
      <c r="H32" s="141">
        <v>0</v>
      </c>
      <c r="I32" s="141">
        <v>0</v>
      </c>
      <c r="J32" s="141">
        <f t="shared" si="0"/>
        <v>3</v>
      </c>
      <c r="K32" s="142" t="str">
        <f t="shared" si="1"/>
        <v>SDD</v>
      </c>
    </row>
    <row r="33" spans="1:11">
      <c r="A33" s="61" t="s">
        <v>18</v>
      </c>
      <c r="B33" s="62" t="s">
        <v>7</v>
      </c>
      <c r="C33" s="62" t="s">
        <v>8</v>
      </c>
      <c r="D33" s="62" t="s">
        <v>19</v>
      </c>
      <c r="E33" s="62">
        <v>3</v>
      </c>
      <c r="F33" s="62">
        <v>0</v>
      </c>
      <c r="G33" s="62">
        <v>0</v>
      </c>
      <c r="H33" s="62">
        <v>0</v>
      </c>
      <c r="I33" s="62">
        <v>0</v>
      </c>
      <c r="J33" s="62">
        <f t="shared" si="0"/>
        <v>3</v>
      </c>
      <c r="K33" s="142" t="str">
        <f t="shared" si="1"/>
        <v>SDD</v>
      </c>
    </row>
    <row r="34" spans="1:11">
      <c r="A34" s="140" t="s">
        <v>20</v>
      </c>
      <c r="B34" s="141" t="s">
        <v>7</v>
      </c>
      <c r="C34" s="141" t="s">
        <v>8</v>
      </c>
      <c r="D34" s="141" t="s">
        <v>21</v>
      </c>
      <c r="E34" s="141">
        <v>3</v>
      </c>
      <c r="F34" s="141">
        <v>0</v>
      </c>
      <c r="G34" s="141">
        <v>0</v>
      </c>
      <c r="H34" s="141">
        <v>0</v>
      </c>
      <c r="I34" s="141">
        <v>0</v>
      </c>
      <c r="J34" s="141">
        <f t="shared" si="0"/>
        <v>3</v>
      </c>
      <c r="K34" s="142" t="str">
        <f t="shared" si="1"/>
        <v>SDD</v>
      </c>
    </row>
    <row r="35" spans="1:11">
      <c r="A35" s="61" t="s">
        <v>22</v>
      </c>
      <c r="B35" s="62" t="s">
        <v>7</v>
      </c>
      <c r="C35" s="62" t="s">
        <v>8</v>
      </c>
      <c r="D35" s="62" t="s">
        <v>23</v>
      </c>
      <c r="E35" s="62">
        <v>3</v>
      </c>
      <c r="F35" s="62">
        <v>0</v>
      </c>
      <c r="G35" s="62">
        <v>0</v>
      </c>
      <c r="H35" s="62">
        <v>0</v>
      </c>
      <c r="I35" s="62">
        <v>0</v>
      </c>
      <c r="J35" s="62">
        <f t="shared" si="0"/>
        <v>3</v>
      </c>
      <c r="K35" s="142" t="str">
        <f t="shared" si="1"/>
        <v>SDD</v>
      </c>
    </row>
    <row r="36" spans="1:11">
      <c r="A36" s="140" t="s">
        <v>24</v>
      </c>
      <c r="B36" s="141" t="s">
        <v>7</v>
      </c>
      <c r="C36" s="141" t="s">
        <v>8</v>
      </c>
      <c r="D36" s="141" t="s">
        <v>25</v>
      </c>
      <c r="E36" s="141">
        <v>3</v>
      </c>
      <c r="F36" s="141">
        <v>0</v>
      </c>
      <c r="G36" s="141">
        <v>12</v>
      </c>
      <c r="H36" s="141">
        <v>9</v>
      </c>
      <c r="I36" s="141">
        <v>0</v>
      </c>
      <c r="J36" s="141">
        <f t="shared" si="0"/>
        <v>24</v>
      </c>
      <c r="K36" s="143" t="str">
        <f t="shared" si="1"/>
        <v>CDD</v>
      </c>
    </row>
    <row r="37" spans="1:11">
      <c r="A37" s="61" t="s">
        <v>26</v>
      </c>
      <c r="B37" s="62" t="s">
        <v>7</v>
      </c>
      <c r="C37" s="62" t="s">
        <v>8</v>
      </c>
      <c r="D37" s="62" t="s">
        <v>27</v>
      </c>
      <c r="E37" s="62">
        <v>3</v>
      </c>
      <c r="F37" s="62">
        <v>0</v>
      </c>
      <c r="G37" s="62">
        <v>0</v>
      </c>
      <c r="H37" s="62">
        <v>0</v>
      </c>
      <c r="I37" s="62">
        <v>0</v>
      </c>
      <c r="J37" s="62">
        <f t="shared" si="0"/>
        <v>3</v>
      </c>
      <c r="K37" s="142" t="str">
        <f t="shared" si="1"/>
        <v>SDD</v>
      </c>
    </row>
    <row r="38" spans="1:11">
      <c r="A38" s="140" t="s">
        <v>28</v>
      </c>
      <c r="B38" s="141" t="s">
        <v>7</v>
      </c>
      <c r="C38" s="141" t="s">
        <v>8</v>
      </c>
      <c r="D38" s="141" t="s">
        <v>29</v>
      </c>
      <c r="E38" s="141">
        <v>3</v>
      </c>
      <c r="F38" s="141">
        <v>0</v>
      </c>
      <c r="G38" s="141">
        <v>0</v>
      </c>
      <c r="H38" s="141">
        <v>0</v>
      </c>
      <c r="I38" s="141">
        <v>0</v>
      </c>
      <c r="J38" s="141">
        <f t="shared" si="0"/>
        <v>3</v>
      </c>
      <c r="K38" s="142" t="str">
        <f t="shared" si="1"/>
        <v>SDD</v>
      </c>
    </row>
    <row r="39" spans="1:11">
      <c r="A39" s="61" t="s">
        <v>30</v>
      </c>
      <c r="B39" s="62" t="s">
        <v>7</v>
      </c>
      <c r="C39" s="62" t="s">
        <v>8</v>
      </c>
      <c r="D39" s="62" t="s">
        <v>31</v>
      </c>
      <c r="E39" s="62">
        <v>3</v>
      </c>
      <c r="F39" s="62">
        <v>0</v>
      </c>
      <c r="G39" s="62">
        <v>0</v>
      </c>
      <c r="H39" s="62">
        <v>0</v>
      </c>
      <c r="I39" s="62">
        <v>0</v>
      </c>
      <c r="J39" s="62">
        <f t="shared" si="0"/>
        <v>3</v>
      </c>
      <c r="K39" s="142" t="str">
        <f t="shared" si="1"/>
        <v>SDD</v>
      </c>
    </row>
    <row r="40" spans="1:11">
      <c r="A40" s="140" t="s">
        <v>36</v>
      </c>
      <c r="B40" s="141" t="s">
        <v>7</v>
      </c>
      <c r="C40" s="141" t="s">
        <v>37</v>
      </c>
      <c r="D40" s="141" t="s">
        <v>38</v>
      </c>
      <c r="E40" s="141">
        <v>8</v>
      </c>
      <c r="F40" s="141">
        <v>7</v>
      </c>
      <c r="G40" s="141">
        <v>12</v>
      </c>
      <c r="H40" s="141">
        <v>3</v>
      </c>
      <c r="I40" s="141">
        <v>0</v>
      </c>
      <c r="J40" s="141">
        <f t="shared" si="0"/>
        <v>30</v>
      </c>
      <c r="K40" s="143" t="str">
        <f t="shared" si="1"/>
        <v>CDD</v>
      </c>
    </row>
    <row r="41" spans="1:11">
      <c r="A41" s="61" t="s">
        <v>40</v>
      </c>
      <c r="B41" s="62" t="s">
        <v>7</v>
      </c>
      <c r="C41" s="62" t="s">
        <v>41</v>
      </c>
      <c r="D41" s="62" t="s">
        <v>42</v>
      </c>
      <c r="E41" s="62">
        <v>16</v>
      </c>
      <c r="F41" s="62">
        <v>13</v>
      </c>
      <c r="G41" s="62">
        <v>12</v>
      </c>
      <c r="H41" s="62">
        <v>9</v>
      </c>
      <c r="I41" s="62">
        <v>5</v>
      </c>
      <c r="J41" s="62">
        <f t="shared" si="0"/>
        <v>55</v>
      </c>
      <c r="K41" s="144" t="str">
        <f t="shared" si="1"/>
        <v>EDD</v>
      </c>
    </row>
    <row r="42" spans="1:11">
      <c r="A42" s="140" t="s">
        <v>43</v>
      </c>
      <c r="B42" s="141" t="s">
        <v>7</v>
      </c>
      <c r="C42" s="141" t="s">
        <v>44</v>
      </c>
      <c r="D42" s="141" t="s">
        <v>45</v>
      </c>
      <c r="E42" s="141">
        <v>16</v>
      </c>
      <c r="F42" s="141">
        <v>17</v>
      </c>
      <c r="G42" s="141">
        <v>12</v>
      </c>
      <c r="H42" s="141">
        <v>3</v>
      </c>
      <c r="I42" s="141">
        <v>0</v>
      </c>
      <c r="J42" s="141">
        <f t="shared" si="0"/>
        <v>48</v>
      </c>
      <c r="K42" s="143" t="str">
        <f t="shared" si="1"/>
        <v>CDD</v>
      </c>
    </row>
    <row r="43" spans="1:11">
      <c r="A43" s="61" t="s">
        <v>46</v>
      </c>
      <c r="B43" s="62" t="s">
        <v>7</v>
      </c>
      <c r="C43" s="62" t="s">
        <v>47</v>
      </c>
      <c r="D43" s="62" t="s">
        <v>48</v>
      </c>
      <c r="E43" s="62">
        <v>16</v>
      </c>
      <c r="F43" s="62">
        <v>13</v>
      </c>
      <c r="G43" s="62">
        <v>16</v>
      </c>
      <c r="H43" s="62">
        <v>3</v>
      </c>
      <c r="I43" s="62">
        <v>0</v>
      </c>
      <c r="J43" s="62">
        <f t="shared" si="0"/>
        <v>48</v>
      </c>
      <c r="K43" s="143" t="str">
        <f t="shared" si="1"/>
        <v>CDD</v>
      </c>
    </row>
    <row r="44" spans="1:11">
      <c r="A44" s="140" t="s">
        <v>49</v>
      </c>
      <c r="B44" s="141" t="s">
        <v>7</v>
      </c>
      <c r="C44" s="141" t="s">
        <v>8</v>
      </c>
      <c r="D44" s="141" t="s">
        <v>50</v>
      </c>
      <c r="E44" s="141">
        <v>3</v>
      </c>
      <c r="F44" s="141">
        <v>17</v>
      </c>
      <c r="G44" s="141">
        <v>0</v>
      </c>
      <c r="H44" s="141">
        <v>9</v>
      </c>
      <c r="I44" s="141">
        <v>5</v>
      </c>
      <c r="J44" s="141">
        <f t="shared" si="0"/>
        <v>34</v>
      </c>
      <c r="K44" s="143" t="str">
        <f t="shared" si="1"/>
        <v>CDD</v>
      </c>
    </row>
    <row r="45" spans="1:11">
      <c r="A45" s="61" t="s">
        <v>51</v>
      </c>
      <c r="B45" s="62" t="s">
        <v>7</v>
      </c>
      <c r="C45" s="62" t="s">
        <v>52</v>
      </c>
      <c r="D45" s="62" t="s">
        <v>53</v>
      </c>
      <c r="E45" s="62">
        <v>8</v>
      </c>
      <c r="F45" s="62">
        <v>7</v>
      </c>
      <c r="G45" s="62">
        <v>12</v>
      </c>
      <c r="H45" s="62">
        <v>3</v>
      </c>
      <c r="I45" s="62">
        <v>0</v>
      </c>
      <c r="J45" s="62">
        <f t="shared" si="0"/>
        <v>30</v>
      </c>
      <c r="K45" s="143" t="str">
        <f t="shared" si="1"/>
        <v>CDD</v>
      </c>
    </row>
    <row r="46" spans="1:11">
      <c r="A46" s="140" t="s">
        <v>54</v>
      </c>
      <c r="B46" s="141" t="s">
        <v>7</v>
      </c>
      <c r="C46" s="141" t="s">
        <v>55</v>
      </c>
      <c r="D46" s="141" t="s">
        <v>56</v>
      </c>
      <c r="E46" s="141">
        <v>8</v>
      </c>
      <c r="F46" s="141">
        <v>23</v>
      </c>
      <c r="G46" s="141">
        <v>16</v>
      </c>
      <c r="H46" s="141">
        <v>9</v>
      </c>
      <c r="I46" s="141">
        <v>0</v>
      </c>
      <c r="J46" s="141">
        <f t="shared" si="0"/>
        <v>56</v>
      </c>
      <c r="K46" s="144" t="str">
        <f t="shared" si="1"/>
        <v>EDD</v>
      </c>
    </row>
    <row r="47" spans="1:11">
      <c r="A47" s="61" t="s">
        <v>58</v>
      </c>
      <c r="B47" s="62" t="s">
        <v>7</v>
      </c>
      <c r="C47" s="62" t="s">
        <v>8</v>
      </c>
      <c r="D47" s="62" t="s">
        <v>50</v>
      </c>
      <c r="E47" s="62">
        <v>3</v>
      </c>
      <c r="F47" s="62">
        <v>17</v>
      </c>
      <c r="G47" s="62">
        <v>0</v>
      </c>
      <c r="H47" s="62">
        <v>12</v>
      </c>
      <c r="I47" s="62">
        <v>8</v>
      </c>
      <c r="J47" s="62">
        <f t="shared" si="0"/>
        <v>40</v>
      </c>
      <c r="K47" s="143" t="str">
        <f t="shared" si="1"/>
        <v>CDD</v>
      </c>
    </row>
    <row r="48" spans="1:11">
      <c r="A48" s="140" t="s">
        <v>59</v>
      </c>
      <c r="B48" s="141" t="s">
        <v>7</v>
      </c>
      <c r="C48" s="141" t="s">
        <v>60</v>
      </c>
      <c r="D48" s="141" t="s">
        <v>61</v>
      </c>
      <c r="E48" s="141">
        <v>26</v>
      </c>
      <c r="F48" s="141">
        <v>13</v>
      </c>
      <c r="G48" s="141">
        <v>16</v>
      </c>
      <c r="H48" s="141">
        <v>9</v>
      </c>
      <c r="I48" s="141">
        <v>5</v>
      </c>
      <c r="J48" s="141">
        <f t="shared" si="0"/>
        <v>69</v>
      </c>
      <c r="K48" s="144" t="str">
        <f t="shared" si="1"/>
        <v>EDD</v>
      </c>
    </row>
    <row r="49" spans="1:11">
      <c r="A49" s="61" t="s">
        <v>63</v>
      </c>
      <c r="B49" s="62" t="s">
        <v>64</v>
      </c>
      <c r="C49" s="62" t="s">
        <v>41</v>
      </c>
      <c r="D49" s="62" t="s">
        <v>65</v>
      </c>
      <c r="E49" s="62">
        <v>26</v>
      </c>
      <c r="F49" s="62">
        <v>21</v>
      </c>
      <c r="G49" s="62">
        <v>16</v>
      </c>
      <c r="H49" s="62">
        <v>9</v>
      </c>
      <c r="I49" s="62">
        <v>8</v>
      </c>
      <c r="J49" s="62">
        <f t="shared" si="0"/>
        <v>80</v>
      </c>
      <c r="K49" s="145" t="str">
        <f t="shared" si="1"/>
        <v>EDD Urgent</v>
      </c>
    </row>
    <row r="50" spans="1:11">
      <c r="A50" s="140" t="s">
        <v>66</v>
      </c>
      <c r="B50" s="141" t="s">
        <v>64</v>
      </c>
      <c r="C50" s="141" t="s">
        <v>8</v>
      </c>
      <c r="D50" s="141" t="s">
        <v>67</v>
      </c>
      <c r="E50" s="141">
        <v>3</v>
      </c>
      <c r="F50" s="141">
        <v>21</v>
      </c>
      <c r="G50" s="141">
        <v>16</v>
      </c>
      <c r="H50" s="141">
        <v>12</v>
      </c>
      <c r="I50" s="141">
        <v>8</v>
      </c>
      <c r="J50" s="141">
        <f t="shared" si="0"/>
        <v>60</v>
      </c>
      <c r="K50" s="144" t="str">
        <f t="shared" si="1"/>
        <v>EDD</v>
      </c>
    </row>
    <row r="51" spans="1:11">
      <c r="A51" s="61" t="s">
        <v>68</v>
      </c>
      <c r="B51" s="62" t="s">
        <v>7</v>
      </c>
      <c r="C51" s="62" t="s">
        <v>69</v>
      </c>
      <c r="D51" s="62" t="s">
        <v>42</v>
      </c>
      <c r="E51" s="62">
        <v>26</v>
      </c>
      <c r="F51" s="62">
        <v>13</v>
      </c>
      <c r="G51" s="62">
        <v>16</v>
      </c>
      <c r="H51" s="62">
        <v>11</v>
      </c>
      <c r="I51" s="62">
        <v>5</v>
      </c>
      <c r="J51" s="62">
        <f t="shared" si="0"/>
        <v>71</v>
      </c>
      <c r="K51" s="144" t="str">
        <f t="shared" si="1"/>
        <v>EDD</v>
      </c>
    </row>
    <row r="52" spans="1:11">
      <c r="A52" s="140" t="s">
        <v>70</v>
      </c>
      <c r="B52" s="141" t="s">
        <v>7</v>
      </c>
      <c r="C52" s="141" t="s">
        <v>8</v>
      </c>
      <c r="D52" s="141" t="s">
        <v>71</v>
      </c>
      <c r="E52" s="141">
        <v>5</v>
      </c>
      <c r="F52" s="141">
        <v>25</v>
      </c>
      <c r="G52" s="141">
        <v>12</v>
      </c>
      <c r="H52" s="141">
        <v>8</v>
      </c>
      <c r="I52" s="141">
        <v>5</v>
      </c>
      <c r="J52" s="141">
        <f t="shared" si="0"/>
        <v>55</v>
      </c>
      <c r="K52" s="144" t="str">
        <f t="shared" si="1"/>
        <v>EDD</v>
      </c>
    </row>
    <row r="53" spans="1:11">
      <c r="A53" s="61" t="s">
        <v>72</v>
      </c>
      <c r="B53" s="62" t="s">
        <v>7</v>
      </c>
      <c r="C53" s="62" t="s">
        <v>73</v>
      </c>
      <c r="D53" s="62" t="s">
        <v>74</v>
      </c>
      <c r="E53" s="62">
        <v>26</v>
      </c>
      <c r="F53" s="62">
        <v>13</v>
      </c>
      <c r="G53" s="62">
        <v>16</v>
      </c>
      <c r="H53" s="62">
        <v>9</v>
      </c>
      <c r="I53" s="62">
        <v>5</v>
      </c>
      <c r="J53" s="62">
        <f t="shared" si="0"/>
        <v>69</v>
      </c>
      <c r="K53" s="144" t="str">
        <f t="shared" si="1"/>
        <v>EDD</v>
      </c>
    </row>
    <row r="54" spans="1:11">
      <c r="A54" s="140" t="s">
        <v>75</v>
      </c>
      <c r="B54" s="141" t="s">
        <v>7</v>
      </c>
      <c r="C54" s="141" t="s">
        <v>8</v>
      </c>
      <c r="D54" s="141" t="s">
        <v>76</v>
      </c>
      <c r="E54" s="141">
        <v>4</v>
      </c>
      <c r="F54" s="141">
        <v>23</v>
      </c>
      <c r="G54" s="141">
        <v>8</v>
      </c>
      <c r="H54" s="141">
        <v>13</v>
      </c>
      <c r="I54" s="141">
        <v>7</v>
      </c>
      <c r="J54" s="141">
        <f t="shared" si="0"/>
        <v>55</v>
      </c>
      <c r="K54" s="144" t="str">
        <f t="shared" si="1"/>
        <v>EDD</v>
      </c>
    </row>
    <row r="55" spans="1:11">
      <c r="A55" s="61" t="s">
        <v>78</v>
      </c>
      <c r="B55" s="62" t="s">
        <v>7</v>
      </c>
      <c r="C55" s="62" t="s">
        <v>8</v>
      </c>
      <c r="D55" s="62" t="s">
        <v>79</v>
      </c>
      <c r="E55" s="62">
        <v>3</v>
      </c>
      <c r="F55" s="62">
        <v>0</v>
      </c>
      <c r="G55" s="62">
        <v>0</v>
      </c>
      <c r="H55" s="62">
        <v>0</v>
      </c>
      <c r="I55" s="62">
        <v>0</v>
      </c>
      <c r="J55" s="62">
        <f t="shared" si="0"/>
        <v>3</v>
      </c>
      <c r="K55" s="142" t="str">
        <f t="shared" si="1"/>
        <v>SDD</v>
      </c>
    </row>
    <row r="56" spans="1:11">
      <c r="A56" s="140" t="s">
        <v>80</v>
      </c>
      <c r="B56" s="141" t="s">
        <v>7</v>
      </c>
      <c r="C56" s="141" t="s">
        <v>8</v>
      </c>
      <c r="D56" s="141" t="s">
        <v>81</v>
      </c>
      <c r="E56" s="141">
        <v>3</v>
      </c>
      <c r="F56" s="141">
        <v>0</v>
      </c>
      <c r="G56" s="141">
        <v>0</v>
      </c>
      <c r="H56" s="141">
        <v>0</v>
      </c>
      <c r="I56" s="141">
        <v>0</v>
      </c>
      <c r="J56" s="141">
        <f t="shared" si="0"/>
        <v>3</v>
      </c>
      <c r="K56" s="142" t="str">
        <f t="shared" si="1"/>
        <v>SDD</v>
      </c>
    </row>
    <row r="57" spans="1:11">
      <c r="A57" s="61" t="s">
        <v>83</v>
      </c>
      <c r="B57" s="62" t="s">
        <v>7</v>
      </c>
      <c r="C57" s="62" t="s">
        <v>84</v>
      </c>
      <c r="D57" s="62" t="s">
        <v>85</v>
      </c>
      <c r="E57" s="62">
        <v>26</v>
      </c>
      <c r="F57" s="62">
        <v>7</v>
      </c>
      <c r="G57" s="62">
        <v>12</v>
      </c>
      <c r="H57" s="62">
        <v>12</v>
      </c>
      <c r="I57" s="62">
        <v>10</v>
      </c>
      <c r="J57" s="62">
        <f t="shared" si="0"/>
        <v>67</v>
      </c>
      <c r="K57" s="144" t="str">
        <f t="shared" si="1"/>
        <v>EDD</v>
      </c>
    </row>
    <row r="58" spans="1:11">
      <c r="A58" s="140" t="s">
        <v>86</v>
      </c>
      <c r="B58" s="141" t="s">
        <v>87</v>
      </c>
      <c r="C58" s="141" t="s">
        <v>88</v>
      </c>
      <c r="D58" s="141" t="s">
        <v>89</v>
      </c>
      <c r="E58" s="141">
        <v>3</v>
      </c>
      <c r="F58" s="141">
        <v>21</v>
      </c>
      <c r="G58" s="141">
        <v>16</v>
      </c>
      <c r="H58" s="141">
        <v>11</v>
      </c>
      <c r="I58" s="141">
        <v>5</v>
      </c>
      <c r="J58" s="141">
        <f t="shared" si="0"/>
        <v>56</v>
      </c>
      <c r="K58" s="144" t="str">
        <f t="shared" si="1"/>
        <v>EDD</v>
      </c>
    </row>
    <row r="59" spans="1:11">
      <c r="A59" s="61" t="s">
        <v>90</v>
      </c>
      <c r="B59" s="62" t="s">
        <v>87</v>
      </c>
      <c r="C59" s="62" t="s">
        <v>88</v>
      </c>
      <c r="D59" s="62" t="s">
        <v>91</v>
      </c>
      <c r="E59" s="62">
        <v>3</v>
      </c>
      <c r="F59" s="62">
        <v>17</v>
      </c>
      <c r="G59" s="62">
        <v>16</v>
      </c>
      <c r="H59" s="62">
        <v>9</v>
      </c>
      <c r="I59" s="62">
        <v>0</v>
      </c>
      <c r="J59" s="62">
        <f t="shared" si="0"/>
        <v>45</v>
      </c>
      <c r="K59" s="143" t="str">
        <f t="shared" si="1"/>
        <v>CDD</v>
      </c>
    </row>
  </sheetData>
  <mergeCells count="6">
    <mergeCell ref="A11:D11"/>
    <mergeCell ref="A20:D20"/>
    <mergeCell ref="A28:K28"/>
    <mergeCell ref="A1:J1"/>
    <mergeCell ref="A4:E4"/>
    <mergeCell ref="A10:D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06E37-0F01-6F45-B981-0B40BCDE1B87}">
  <dimension ref="A1:M68"/>
  <sheetViews>
    <sheetView showGridLines="0" workbookViewId="0">
      <pane ySplit="4" topLeftCell="A5" activePane="bottomLeft" state="frozen"/>
      <selection pane="bottomLeft" activeCell="B22" sqref="B22"/>
    </sheetView>
  </sheetViews>
  <sheetFormatPr baseColWidth="10" defaultRowHeight="16"/>
  <cols>
    <col min="1" max="1" width="31" customWidth="1"/>
    <col min="2" max="3" width="20.83203125" customWidth="1"/>
    <col min="4" max="4" width="23" bestFit="1" customWidth="1"/>
    <col min="5" max="5" width="19.6640625" customWidth="1"/>
    <col min="6" max="6" width="18.33203125" customWidth="1"/>
    <col min="7" max="7" width="20.5" bestFit="1" customWidth="1"/>
    <col min="8" max="8" width="19.5" bestFit="1" customWidth="1"/>
    <col min="9" max="9" width="28" bestFit="1" customWidth="1"/>
    <col min="10" max="10" width="21.5" bestFit="1" customWidth="1"/>
  </cols>
  <sheetData>
    <row r="1" spans="1:13" ht="19">
      <c r="A1" s="107" t="s">
        <v>581</v>
      </c>
      <c r="B1" s="107"/>
      <c r="C1" s="107"/>
      <c r="D1" s="107"/>
      <c r="E1" s="107"/>
      <c r="F1" s="107"/>
      <c r="G1" s="107"/>
      <c r="H1" s="107"/>
      <c r="I1" s="107"/>
      <c r="J1" s="107"/>
    </row>
    <row r="2" spans="1:13">
      <c r="A2" s="106" t="s">
        <v>744</v>
      </c>
      <c r="B2" s="106"/>
      <c r="C2" s="106"/>
      <c r="D2" s="106"/>
      <c r="E2" s="106"/>
      <c r="F2" s="106"/>
      <c r="G2" s="106"/>
      <c r="H2" s="106"/>
      <c r="I2" s="106"/>
      <c r="J2" s="106"/>
    </row>
    <row r="3" spans="1:13" ht="19">
      <c r="A3" s="107" t="s">
        <v>582</v>
      </c>
      <c r="B3" s="107"/>
      <c r="C3" s="107"/>
      <c r="D3" s="107"/>
      <c r="E3" s="107"/>
      <c r="F3" s="107"/>
      <c r="G3" s="107"/>
      <c r="H3" s="107"/>
      <c r="I3" s="107"/>
      <c r="J3" s="107"/>
    </row>
    <row r="4" spans="1:13" ht="19">
      <c r="A4" s="48" t="s">
        <v>583</v>
      </c>
      <c r="B4" s="48" t="s">
        <v>584</v>
      </c>
      <c r="C4" s="48" t="s">
        <v>585</v>
      </c>
      <c r="D4" s="48" t="s">
        <v>586</v>
      </c>
      <c r="E4" s="48" t="s">
        <v>587</v>
      </c>
      <c r="F4" s="48" t="s">
        <v>460</v>
      </c>
      <c r="G4" s="48" t="s">
        <v>527</v>
      </c>
      <c r="H4" s="48" t="s">
        <v>564</v>
      </c>
      <c r="I4" s="48" t="s">
        <v>721</v>
      </c>
      <c r="J4" s="48" t="s">
        <v>588</v>
      </c>
    </row>
    <row r="5" spans="1:13" ht="85">
      <c r="A5" s="76" t="s">
        <v>467</v>
      </c>
      <c r="B5" s="64" t="s">
        <v>589</v>
      </c>
      <c r="C5" s="64" t="s">
        <v>590</v>
      </c>
      <c r="D5" s="64" t="s">
        <v>722</v>
      </c>
      <c r="E5" s="64" t="s">
        <v>591</v>
      </c>
      <c r="F5" s="116" t="s">
        <v>469</v>
      </c>
      <c r="G5" s="64" t="s">
        <v>592</v>
      </c>
      <c r="H5" s="64" t="s">
        <v>593</v>
      </c>
      <c r="I5" s="65">
        <v>2</v>
      </c>
      <c r="J5" s="66">
        <v>0.5</v>
      </c>
    </row>
    <row r="6" spans="1:13" ht="68">
      <c r="A6" s="77" t="s">
        <v>473</v>
      </c>
      <c r="B6" s="67" t="s">
        <v>594</v>
      </c>
      <c r="C6" s="67" t="s">
        <v>595</v>
      </c>
      <c r="D6" s="67" t="s">
        <v>596</v>
      </c>
      <c r="E6" s="67" t="s">
        <v>597</v>
      </c>
      <c r="F6" s="116" t="s">
        <v>469</v>
      </c>
      <c r="G6" s="67" t="s">
        <v>598</v>
      </c>
      <c r="H6" s="67" t="s">
        <v>599</v>
      </c>
      <c r="I6" s="68">
        <v>1</v>
      </c>
      <c r="J6" s="120">
        <v>1</v>
      </c>
      <c r="M6" s="23"/>
    </row>
    <row r="7" spans="1:13" ht="68">
      <c r="A7" s="76" t="s">
        <v>477</v>
      </c>
      <c r="B7" s="64" t="s">
        <v>600</v>
      </c>
      <c r="C7" s="64" t="s">
        <v>595</v>
      </c>
      <c r="D7" s="64" t="s">
        <v>731</v>
      </c>
      <c r="E7" s="64" t="s">
        <v>601</v>
      </c>
      <c r="F7" s="116" t="s">
        <v>469</v>
      </c>
      <c r="G7" s="64" t="s">
        <v>602</v>
      </c>
      <c r="H7" s="64" t="s">
        <v>603</v>
      </c>
      <c r="I7" s="65">
        <v>1</v>
      </c>
      <c r="J7" s="66">
        <v>1</v>
      </c>
    </row>
    <row r="8" spans="1:13" ht="68">
      <c r="A8" s="77" t="s">
        <v>480</v>
      </c>
      <c r="B8" s="67" t="s">
        <v>604</v>
      </c>
      <c r="C8" s="67" t="s">
        <v>590</v>
      </c>
      <c r="D8" s="67" t="s">
        <v>605</v>
      </c>
      <c r="E8" s="67" t="s">
        <v>606</v>
      </c>
      <c r="F8" s="116" t="s">
        <v>469</v>
      </c>
      <c r="G8" s="67" t="s">
        <v>607</v>
      </c>
      <c r="H8" s="67" t="s">
        <v>608</v>
      </c>
      <c r="I8" s="68">
        <v>1</v>
      </c>
      <c r="J8" s="66">
        <v>1</v>
      </c>
    </row>
    <row r="9" spans="1:13" ht="68">
      <c r="A9" s="76" t="s">
        <v>484</v>
      </c>
      <c r="B9" s="64" t="s">
        <v>609</v>
      </c>
      <c r="C9" s="64" t="s">
        <v>610</v>
      </c>
      <c r="D9" s="64" t="s">
        <v>611</v>
      </c>
      <c r="E9" s="64" t="s">
        <v>612</v>
      </c>
      <c r="F9" s="116" t="s">
        <v>469</v>
      </c>
      <c r="G9" s="64" t="s">
        <v>613</v>
      </c>
      <c r="H9" s="64" t="s">
        <v>614</v>
      </c>
      <c r="I9" s="65">
        <v>1</v>
      </c>
      <c r="J9" s="69" t="s">
        <v>615</v>
      </c>
    </row>
    <row r="10" spans="1:13" ht="51">
      <c r="A10" s="77" t="s">
        <v>493</v>
      </c>
      <c r="B10" s="67" t="s">
        <v>616</v>
      </c>
      <c r="C10" s="67" t="s">
        <v>590</v>
      </c>
      <c r="D10" s="67" t="s">
        <v>617</v>
      </c>
      <c r="E10" s="67" t="s">
        <v>618</v>
      </c>
      <c r="F10" s="117" t="s">
        <v>494</v>
      </c>
      <c r="G10" s="67" t="s">
        <v>619</v>
      </c>
      <c r="H10" s="67" t="s">
        <v>620</v>
      </c>
      <c r="I10" s="68">
        <v>1</v>
      </c>
      <c r="J10" s="94">
        <v>0</v>
      </c>
    </row>
    <row r="11" spans="1:13" ht="68">
      <c r="A11" s="76" t="s">
        <v>488</v>
      </c>
      <c r="B11" s="64" t="s">
        <v>621</v>
      </c>
      <c r="C11" s="64" t="s">
        <v>595</v>
      </c>
      <c r="D11" s="64" t="s">
        <v>622</v>
      </c>
      <c r="E11" s="64" t="s">
        <v>623</v>
      </c>
      <c r="F11" s="116" t="s">
        <v>469</v>
      </c>
      <c r="G11" s="64" t="s">
        <v>624</v>
      </c>
      <c r="H11" s="64" t="s">
        <v>625</v>
      </c>
      <c r="I11" s="65">
        <v>1</v>
      </c>
      <c r="J11" s="94">
        <v>0</v>
      </c>
    </row>
    <row r="12" spans="1:13" ht="85">
      <c r="A12" s="77" t="s">
        <v>497</v>
      </c>
      <c r="B12" s="67" t="s">
        <v>626</v>
      </c>
      <c r="C12" s="67" t="s">
        <v>627</v>
      </c>
      <c r="D12" s="67" t="s">
        <v>628</v>
      </c>
      <c r="E12" s="67" t="s">
        <v>629</v>
      </c>
      <c r="F12" s="118" t="s">
        <v>499</v>
      </c>
      <c r="G12" s="67" t="s">
        <v>630</v>
      </c>
      <c r="H12" s="67" t="s">
        <v>631</v>
      </c>
      <c r="I12" s="68">
        <v>1</v>
      </c>
      <c r="J12" s="66">
        <v>1</v>
      </c>
    </row>
    <row r="13" spans="1:13" ht="85">
      <c r="A13" s="115" t="s">
        <v>736</v>
      </c>
      <c r="B13" s="113" t="s">
        <v>504</v>
      </c>
      <c r="C13" s="113" t="s">
        <v>595</v>
      </c>
      <c r="D13" s="113" t="s">
        <v>740</v>
      </c>
      <c r="E13" s="113" t="s">
        <v>741</v>
      </c>
      <c r="F13" s="116" t="s">
        <v>469</v>
      </c>
      <c r="G13" s="113" t="s">
        <v>742</v>
      </c>
      <c r="H13" s="113" t="s">
        <v>743</v>
      </c>
      <c r="I13" s="114">
        <v>1</v>
      </c>
      <c r="J13" s="119" t="s">
        <v>615</v>
      </c>
    </row>
    <row r="15" spans="1:13">
      <c r="A15" s="63" t="s">
        <v>641</v>
      </c>
      <c r="B15" s="63"/>
    </row>
    <row r="16" spans="1:13">
      <c r="A16" s="70" t="s">
        <v>632</v>
      </c>
      <c r="B16" s="70" t="s">
        <v>633</v>
      </c>
    </row>
    <row r="17" spans="1:10">
      <c r="A17" s="71" t="s">
        <v>634</v>
      </c>
      <c r="B17" s="72">
        <f>COUNTA(A5:A13)</f>
        <v>9</v>
      </c>
    </row>
    <row r="18" spans="1:10">
      <c r="A18" s="73" t="s">
        <v>720</v>
      </c>
      <c r="B18" s="74">
        <f>SUM(I5:I13)</f>
        <v>10</v>
      </c>
    </row>
    <row r="19" spans="1:10">
      <c r="A19" s="71" t="s">
        <v>635</v>
      </c>
      <c r="B19" s="72">
        <f>COUNTIF(F5:F13,"CRITICAL")</f>
        <v>1</v>
      </c>
    </row>
    <row r="20" spans="1:10">
      <c r="A20" s="73" t="s">
        <v>636</v>
      </c>
      <c r="B20" s="72">
        <f>COUNTIF(F5:F13,"HIGH")</f>
        <v>7</v>
      </c>
    </row>
    <row r="21" spans="1:10">
      <c r="A21" s="71" t="s">
        <v>637</v>
      </c>
      <c r="B21" s="72">
        <f>COUNTIF(F5:F13,"MEDIUM")</f>
        <v>1</v>
      </c>
    </row>
    <row r="22" spans="1:10">
      <c r="A22" s="73" t="s">
        <v>638</v>
      </c>
      <c r="B22" s="75">
        <f>ALERT_INVESTIGATION_LOG!C20/ALERT_INVESTIGATION_LOG!C19</f>
        <v>0.5</v>
      </c>
    </row>
    <row r="23" spans="1:10">
      <c r="A23" s="71" t="s">
        <v>514</v>
      </c>
      <c r="B23" s="72">
        <f>ALERT_INVESTIGATION_LOG!C24</f>
        <v>5</v>
      </c>
    </row>
    <row r="24" spans="1:10">
      <c r="A24" s="73" t="s">
        <v>639</v>
      </c>
      <c r="B24" s="74">
        <f>COUNTIF(I5:I13,"&gt;0")</f>
        <v>9</v>
      </c>
    </row>
    <row r="26" spans="1:10" ht="16" customHeight="1">
      <c r="A26" s="112" t="s">
        <v>640</v>
      </c>
      <c r="B26" s="112"/>
      <c r="C26" s="112"/>
      <c r="D26" s="112"/>
      <c r="E26" s="112"/>
      <c r="F26" s="112"/>
      <c r="G26" s="112"/>
      <c r="H26" s="112"/>
      <c r="I26" s="112"/>
      <c r="J26" s="112"/>
    </row>
    <row r="27" spans="1:10">
      <c r="A27" s="112"/>
      <c r="B27" s="112"/>
      <c r="C27" s="112"/>
      <c r="D27" s="112"/>
      <c r="E27" s="112"/>
      <c r="F27" s="112"/>
      <c r="G27" s="112"/>
      <c r="H27" s="112"/>
      <c r="I27" s="112"/>
      <c r="J27" s="112"/>
    </row>
    <row r="36" spans="1:1">
      <c r="A36" s="90"/>
    </row>
    <row r="40" spans="1:1">
      <c r="A40" s="86"/>
    </row>
    <row r="49" spans="1:1" ht="26">
      <c r="A49" s="91"/>
    </row>
    <row r="50" spans="1:1" ht="26">
      <c r="A50" s="91"/>
    </row>
    <row r="52" spans="1:1" ht="19">
      <c r="A52" s="92"/>
    </row>
    <row r="56" spans="1:1">
      <c r="A56" s="93"/>
    </row>
    <row r="57" spans="1:1" ht="26">
      <c r="A57" s="91"/>
    </row>
    <row r="58" spans="1:1" ht="26">
      <c r="A58" s="91"/>
    </row>
    <row r="68" spans="1:1" ht="26">
      <c r="A68" s="91"/>
    </row>
  </sheetData>
  <mergeCells count="4">
    <mergeCell ref="A1:J1"/>
    <mergeCell ref="A2:J2"/>
    <mergeCell ref="A3:J3"/>
    <mergeCell ref="A26:J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A0DD-3F32-184B-B7AB-B6D6D20D165F}">
  <dimension ref="A1:J110"/>
  <sheetViews>
    <sheetView showGridLines="0" zoomScaleNormal="100" workbookViewId="0">
      <selection activeCell="B4" sqref="B4"/>
    </sheetView>
  </sheetViews>
  <sheetFormatPr baseColWidth="10" defaultRowHeight="16"/>
  <cols>
    <col min="1" max="1" width="53.5" bestFit="1" customWidth="1"/>
    <col min="2" max="2" width="58" customWidth="1"/>
    <col min="3" max="3" width="11.6640625" bestFit="1" customWidth="1"/>
    <col min="5" max="5" width="40.6640625" customWidth="1"/>
    <col min="6" max="6" width="14.83203125" bestFit="1" customWidth="1"/>
    <col min="9" max="9" width="17.1640625" bestFit="1" customWidth="1"/>
    <col min="10" max="10" width="36.1640625" bestFit="1" customWidth="1"/>
  </cols>
  <sheetData>
    <row r="1" spans="1:2" ht="19">
      <c r="A1" s="83" t="s">
        <v>642</v>
      </c>
    </row>
    <row r="2" spans="1:2" ht="37">
      <c r="A2" s="84" t="s">
        <v>643</v>
      </c>
    </row>
    <row r="3" spans="1:2" ht="19">
      <c r="A3" s="204" t="s">
        <v>738</v>
      </c>
      <c r="B3" s="204"/>
    </row>
    <row r="4" spans="1:2" ht="21">
      <c r="A4" s="85" t="s">
        <v>644</v>
      </c>
    </row>
    <row r="5" spans="1:2" ht="19">
      <c r="A5" s="87" t="s">
        <v>645</v>
      </c>
    </row>
    <row r="6" spans="1:2" ht="19">
      <c r="A6" s="87" t="s">
        <v>646</v>
      </c>
    </row>
    <row r="7" spans="1:2" ht="17" thickBot="1"/>
    <row r="8" spans="1:2" ht="19">
      <c r="A8" s="161" t="s">
        <v>647</v>
      </c>
      <c r="B8" s="162" t="s">
        <v>648</v>
      </c>
    </row>
    <row r="9" spans="1:2" ht="19">
      <c r="A9" s="159" t="s">
        <v>649</v>
      </c>
      <c r="B9" s="156" t="s">
        <v>650</v>
      </c>
    </row>
    <row r="10" spans="1:2" ht="19">
      <c r="A10" s="159" t="s">
        <v>651</v>
      </c>
      <c r="B10" s="157">
        <v>45366</v>
      </c>
    </row>
    <row r="11" spans="1:2" ht="19">
      <c r="A11" s="159" t="s">
        <v>652</v>
      </c>
      <c r="B11" s="156" t="s">
        <v>737</v>
      </c>
    </row>
    <row r="12" spans="1:2" ht="19">
      <c r="A12" s="159" t="s">
        <v>653</v>
      </c>
      <c r="B12" s="156" t="s">
        <v>654</v>
      </c>
    </row>
    <row r="13" spans="1:2" ht="19">
      <c r="A13" s="159" t="s">
        <v>655</v>
      </c>
      <c r="B13" s="156" t="s">
        <v>367</v>
      </c>
    </row>
    <row r="14" spans="1:2" ht="19">
      <c r="A14" s="159" t="s">
        <v>656</v>
      </c>
      <c r="B14" s="156" t="s">
        <v>657</v>
      </c>
    </row>
    <row r="15" spans="1:2" ht="20" thickBot="1">
      <c r="A15" s="160" t="s">
        <v>658</v>
      </c>
      <c r="B15" s="158" t="s">
        <v>739</v>
      </c>
    </row>
    <row r="17" spans="1:10" ht="19">
      <c r="A17" s="83" t="s">
        <v>659</v>
      </c>
    </row>
    <row r="18" spans="1:10" ht="19">
      <c r="A18" s="89" t="s">
        <v>660</v>
      </c>
      <c r="B18" s="88"/>
      <c r="C18" s="88"/>
      <c r="D18" s="88"/>
      <c r="E18" s="88"/>
      <c r="F18" s="151"/>
    </row>
    <row r="20" spans="1:10" ht="17" thickBot="1"/>
    <row r="21" spans="1:10" ht="19">
      <c r="A21" s="152" t="s">
        <v>661</v>
      </c>
      <c r="B21" s="153"/>
    </row>
    <row r="22" spans="1:10" ht="19">
      <c r="A22" s="154" t="s">
        <v>647</v>
      </c>
      <c r="B22" s="155" t="s">
        <v>648</v>
      </c>
      <c r="J22" s="23"/>
    </row>
    <row r="23" spans="1:10" ht="19">
      <c r="A23" s="159" t="s">
        <v>662</v>
      </c>
      <c r="B23" s="156" t="s">
        <v>58</v>
      </c>
    </row>
    <row r="24" spans="1:10" ht="19">
      <c r="A24" s="159" t="s">
        <v>663</v>
      </c>
      <c r="B24" s="156" t="s">
        <v>764</v>
      </c>
    </row>
    <row r="25" spans="1:10" ht="19">
      <c r="A25" s="159" t="s">
        <v>552</v>
      </c>
      <c r="B25" s="156" t="s">
        <v>7</v>
      </c>
    </row>
    <row r="26" spans="1:10" ht="19">
      <c r="A26" s="159" t="s">
        <v>34</v>
      </c>
      <c r="B26" s="156" t="s">
        <v>50</v>
      </c>
    </row>
    <row r="27" spans="1:10" ht="19">
      <c r="A27" s="159" t="s">
        <v>33</v>
      </c>
      <c r="B27" s="156" t="s">
        <v>8</v>
      </c>
    </row>
    <row r="28" spans="1:10" ht="19">
      <c r="A28" s="159" t="s">
        <v>664</v>
      </c>
      <c r="B28" s="156" t="s">
        <v>665</v>
      </c>
    </row>
    <row r="29" spans="1:10" ht="19">
      <c r="A29" s="159" t="s">
        <v>666</v>
      </c>
      <c r="B29" s="156" t="s">
        <v>13</v>
      </c>
    </row>
    <row r="30" spans="1:10" ht="19">
      <c r="A30" s="159" t="s">
        <v>667</v>
      </c>
      <c r="B30" s="156" t="s">
        <v>535</v>
      </c>
    </row>
    <row r="31" spans="1:10" ht="19">
      <c r="A31" s="159" t="s">
        <v>668</v>
      </c>
      <c r="B31" s="156" t="s">
        <v>494</v>
      </c>
    </row>
    <row r="32" spans="1:10" ht="19">
      <c r="A32" s="159" t="s">
        <v>669</v>
      </c>
      <c r="B32" s="156" t="s">
        <v>670</v>
      </c>
    </row>
    <row r="33" spans="1:6" ht="19">
      <c r="A33" s="159" t="s">
        <v>671</v>
      </c>
      <c r="B33" s="157">
        <f>VLOOKUP(B23,CUSTOMER_PROFILES!A:J,10,FALSE)</f>
        <v>43554</v>
      </c>
    </row>
    <row r="34" spans="1:6" ht="20" thickBot="1">
      <c r="A34" s="160" t="s">
        <v>672</v>
      </c>
      <c r="B34" s="158" t="s">
        <v>673</v>
      </c>
    </row>
    <row r="36" spans="1:6" ht="19">
      <c r="A36" s="188" t="s">
        <v>750</v>
      </c>
      <c r="B36" s="102"/>
    </row>
    <row r="38" spans="1:6" ht="19">
      <c r="A38" s="164" t="s">
        <v>674</v>
      </c>
      <c r="B38" s="163"/>
      <c r="C38" s="163"/>
      <c r="D38" s="163"/>
      <c r="E38" s="163"/>
      <c r="F38" s="165"/>
    </row>
    <row r="39" spans="1:6" ht="17" thickBot="1"/>
    <row r="40" spans="1:6" ht="19">
      <c r="A40" s="161" t="s">
        <v>675</v>
      </c>
      <c r="B40" s="168" t="s">
        <v>93</v>
      </c>
      <c r="C40" s="168" t="s">
        <v>676</v>
      </c>
      <c r="D40" s="168" t="s">
        <v>677</v>
      </c>
      <c r="E40" s="168" t="s">
        <v>678</v>
      </c>
      <c r="F40" s="169" t="s">
        <v>679</v>
      </c>
    </row>
    <row r="41" spans="1:6" ht="19">
      <c r="A41" s="170" t="s">
        <v>364</v>
      </c>
      <c r="B41" s="166">
        <v>45354</v>
      </c>
      <c r="C41" s="167" t="s">
        <v>216</v>
      </c>
      <c r="D41" s="167" t="s">
        <v>680</v>
      </c>
      <c r="E41" s="167" t="s">
        <v>681</v>
      </c>
      <c r="F41" s="171" t="s">
        <v>680</v>
      </c>
    </row>
    <row r="42" spans="1:6" ht="19">
      <c r="A42" s="170" t="s">
        <v>368</v>
      </c>
      <c r="B42" s="166">
        <v>45355</v>
      </c>
      <c r="C42" s="167" t="s">
        <v>216</v>
      </c>
      <c r="D42" s="167" t="s">
        <v>682</v>
      </c>
      <c r="E42" s="167" t="s">
        <v>681</v>
      </c>
      <c r="F42" s="171" t="s">
        <v>683</v>
      </c>
    </row>
    <row r="43" spans="1:6" ht="20" thickBot="1">
      <c r="A43" s="172" t="s">
        <v>369</v>
      </c>
      <c r="B43" s="173">
        <v>45358</v>
      </c>
      <c r="C43" s="174" t="s">
        <v>216</v>
      </c>
      <c r="D43" s="174" t="s">
        <v>684</v>
      </c>
      <c r="E43" s="174" t="s">
        <v>681</v>
      </c>
      <c r="F43" s="175" t="s">
        <v>685</v>
      </c>
    </row>
    <row r="44" spans="1:6" ht="17" thickBot="1"/>
    <row r="45" spans="1:6" ht="19">
      <c r="A45" s="152" t="s">
        <v>686</v>
      </c>
      <c r="B45" s="153"/>
      <c r="C45" s="179"/>
      <c r="D45" s="179"/>
      <c r="E45" s="179"/>
      <c r="F45" s="179"/>
    </row>
    <row r="46" spans="1:6" ht="17" customHeight="1">
      <c r="A46" s="180" t="s">
        <v>745</v>
      </c>
      <c r="B46" s="181"/>
      <c r="C46" s="178"/>
      <c r="D46" s="178"/>
      <c r="E46" s="178"/>
      <c r="F46" s="178"/>
    </row>
    <row r="47" spans="1:6" ht="18" customHeight="1">
      <c r="A47" s="182" t="s">
        <v>746</v>
      </c>
      <c r="B47" s="183"/>
      <c r="C47" s="177"/>
      <c r="D47" s="177"/>
      <c r="E47" s="177"/>
      <c r="F47" s="177"/>
    </row>
    <row r="48" spans="1:6" ht="18" customHeight="1">
      <c r="A48" s="182" t="s">
        <v>747</v>
      </c>
      <c r="B48" s="183"/>
      <c r="C48" s="177"/>
      <c r="D48" s="177"/>
      <c r="E48" s="177"/>
      <c r="F48" s="177"/>
    </row>
    <row r="49" spans="1:9" ht="19">
      <c r="A49" s="184" t="s">
        <v>748</v>
      </c>
      <c r="B49" s="185"/>
      <c r="C49" s="177"/>
      <c r="D49" s="177"/>
      <c r="E49" s="177"/>
      <c r="F49" s="177"/>
    </row>
    <row r="50" spans="1:9" ht="21" thickBot="1">
      <c r="A50" s="186" t="s">
        <v>749</v>
      </c>
      <c r="B50" s="187"/>
      <c r="C50" s="177"/>
      <c r="D50" s="177"/>
      <c r="E50" s="177"/>
      <c r="F50" s="177"/>
    </row>
    <row r="52" spans="1:9" ht="17" thickBot="1"/>
    <row r="53" spans="1:9" ht="19">
      <c r="A53" s="152" t="s">
        <v>691</v>
      </c>
      <c r="B53" s="189"/>
      <c r="C53" s="189"/>
      <c r="D53" s="189"/>
      <c r="E53" s="153"/>
    </row>
    <row r="54" spans="1:9">
      <c r="A54" s="190"/>
      <c r="B54" s="191"/>
      <c r="C54" s="191"/>
      <c r="D54" s="191"/>
      <c r="E54" s="192"/>
    </row>
    <row r="55" spans="1:9" ht="19">
      <c r="A55" s="193" t="s">
        <v>687</v>
      </c>
      <c r="B55" s="194"/>
      <c r="C55" s="195"/>
      <c r="D55" s="195"/>
      <c r="E55" s="196"/>
    </row>
    <row r="56" spans="1:9">
      <c r="A56" s="190"/>
      <c r="B56" s="191"/>
      <c r="C56" s="191"/>
      <c r="D56" s="191"/>
      <c r="E56" s="192"/>
    </row>
    <row r="57" spans="1:9" ht="19">
      <c r="A57" s="197" t="s">
        <v>751</v>
      </c>
      <c r="B57" s="198"/>
      <c r="C57" s="198"/>
      <c r="D57" s="198"/>
      <c r="E57" s="199"/>
    </row>
    <row r="58" spans="1:9" ht="19">
      <c r="A58" s="197" t="s">
        <v>752</v>
      </c>
      <c r="B58" s="198"/>
      <c r="C58" s="198"/>
      <c r="D58" s="198"/>
      <c r="E58" s="199"/>
    </row>
    <row r="59" spans="1:9" ht="19">
      <c r="A59" s="197" t="s">
        <v>753</v>
      </c>
      <c r="B59" s="198"/>
      <c r="C59" s="198"/>
      <c r="D59" s="198"/>
      <c r="E59" s="199"/>
    </row>
    <row r="60" spans="1:9" ht="19">
      <c r="A60" s="197" t="s">
        <v>754</v>
      </c>
      <c r="B60" s="198"/>
      <c r="C60" s="198"/>
      <c r="D60" s="198"/>
      <c r="E60" s="199"/>
    </row>
    <row r="61" spans="1:9" ht="20" thickBot="1">
      <c r="A61" s="200" t="s">
        <v>755</v>
      </c>
      <c r="B61" s="201"/>
      <c r="C61" s="201"/>
      <c r="D61" s="201"/>
      <c r="E61" s="202"/>
    </row>
    <row r="63" spans="1:9" ht="19">
      <c r="A63" s="176" t="s">
        <v>688</v>
      </c>
      <c r="B63" s="176"/>
      <c r="C63" s="176"/>
      <c r="D63" s="176"/>
      <c r="E63" s="176"/>
      <c r="I63" s="23"/>
    </row>
    <row r="65" spans="1:9" s="204" customFormat="1" ht="19">
      <c r="A65" s="203" t="s">
        <v>689</v>
      </c>
      <c r="B65" s="203"/>
      <c r="C65" s="203"/>
      <c r="D65" s="203"/>
      <c r="E65" s="203"/>
      <c r="F65" s="203"/>
      <c r="G65" s="203"/>
      <c r="H65" s="203"/>
      <c r="I65" s="203"/>
    </row>
    <row r="66" spans="1:9" ht="17" thickBot="1"/>
    <row r="67" spans="1:9" ht="19">
      <c r="A67" s="152" t="s">
        <v>690</v>
      </c>
      <c r="B67" s="153"/>
    </row>
    <row r="68" spans="1:9" ht="19">
      <c r="A68" s="159" t="s">
        <v>647</v>
      </c>
      <c r="B68" s="156" t="s">
        <v>648</v>
      </c>
    </row>
    <row r="69" spans="1:9" ht="19">
      <c r="A69" s="159" t="s">
        <v>692</v>
      </c>
      <c r="B69" s="156" t="s">
        <v>693</v>
      </c>
    </row>
    <row r="70" spans="1:9" ht="19">
      <c r="A70" s="159" t="s">
        <v>656</v>
      </c>
      <c r="B70" s="156" t="s">
        <v>765</v>
      </c>
    </row>
    <row r="71" spans="1:9" ht="19">
      <c r="A71" s="159" t="s">
        <v>694</v>
      </c>
      <c r="B71" s="156" t="s">
        <v>695</v>
      </c>
    </row>
    <row r="72" spans="1:9" ht="19">
      <c r="A72" s="159" t="s">
        <v>696</v>
      </c>
      <c r="B72" s="157">
        <v>45358</v>
      </c>
    </row>
    <row r="73" spans="1:9" ht="19">
      <c r="A73" s="159" t="s">
        <v>655</v>
      </c>
      <c r="B73" s="156" t="s">
        <v>367</v>
      </c>
    </row>
    <row r="74" spans="1:9" ht="19">
      <c r="A74" s="159" t="s">
        <v>697</v>
      </c>
      <c r="B74" s="156" t="s">
        <v>469</v>
      </c>
    </row>
    <row r="75" spans="1:9" ht="19">
      <c r="A75" s="159" t="s">
        <v>698</v>
      </c>
      <c r="B75" s="156" t="s">
        <v>763</v>
      </c>
    </row>
    <row r="76" spans="1:9" ht="19">
      <c r="A76" s="159" t="s">
        <v>699</v>
      </c>
      <c r="B76" s="157">
        <v>45358</v>
      </c>
    </row>
    <row r="77" spans="1:9" ht="19">
      <c r="A77" s="159" t="s">
        <v>700</v>
      </c>
      <c r="B77" s="157">
        <v>45366</v>
      </c>
    </row>
    <row r="78" spans="1:9" ht="20" thickBot="1">
      <c r="A78" s="160" t="s">
        <v>701</v>
      </c>
      <c r="B78" s="158" t="s">
        <v>702</v>
      </c>
    </row>
    <row r="79" spans="1:9" ht="17" thickBot="1"/>
    <row r="80" spans="1:9" ht="19">
      <c r="A80" s="205" t="s">
        <v>703</v>
      </c>
      <c r="B80" s="206"/>
    </row>
    <row r="81" spans="1:2" ht="19">
      <c r="A81" s="197" t="s">
        <v>756</v>
      </c>
      <c r="B81" s="199"/>
    </row>
    <row r="82" spans="1:2" ht="19">
      <c r="A82" s="197" t="s">
        <v>757</v>
      </c>
      <c r="B82" s="199"/>
    </row>
    <row r="83" spans="1:2" ht="19">
      <c r="A83" s="197" t="s">
        <v>758</v>
      </c>
      <c r="B83" s="199"/>
    </row>
    <row r="84" spans="1:2" ht="19">
      <c r="A84" s="197" t="s">
        <v>759</v>
      </c>
      <c r="B84" s="199"/>
    </row>
    <row r="85" spans="1:2" ht="19">
      <c r="A85" s="197" t="s">
        <v>760</v>
      </c>
      <c r="B85" s="199"/>
    </row>
    <row r="86" spans="1:2" ht="19">
      <c r="A86" s="197" t="s">
        <v>761</v>
      </c>
      <c r="B86" s="199"/>
    </row>
    <row r="87" spans="1:2" ht="19">
      <c r="A87" s="197" t="s">
        <v>762</v>
      </c>
      <c r="B87" s="199"/>
    </row>
    <row r="88" spans="1:2" ht="19">
      <c r="A88" s="197" t="s">
        <v>773</v>
      </c>
      <c r="B88" s="199"/>
    </row>
    <row r="89" spans="1:2" ht="20" thickBot="1">
      <c r="A89" s="200" t="s">
        <v>774</v>
      </c>
      <c r="B89" s="202"/>
    </row>
    <row r="90" spans="1:2" ht="17" thickBot="1"/>
    <row r="91" spans="1:2" ht="19">
      <c r="A91" s="205" t="s">
        <v>704</v>
      </c>
      <c r="B91" s="206"/>
    </row>
    <row r="92" spans="1:2" ht="19">
      <c r="A92" s="159" t="s">
        <v>647</v>
      </c>
      <c r="B92" s="156" t="s">
        <v>648</v>
      </c>
    </row>
    <row r="93" spans="1:2" ht="19">
      <c r="A93" s="159" t="s">
        <v>705</v>
      </c>
      <c r="B93" s="156" t="s">
        <v>766</v>
      </c>
    </row>
    <row r="94" spans="1:2" ht="19">
      <c r="A94" s="159" t="s">
        <v>706</v>
      </c>
      <c r="B94" s="157">
        <v>45366</v>
      </c>
    </row>
    <row r="95" spans="1:2" ht="19">
      <c r="A95" s="159" t="s">
        <v>707</v>
      </c>
      <c r="B95" s="156" t="s">
        <v>708</v>
      </c>
    </row>
    <row r="96" spans="1:2" ht="19">
      <c r="A96" s="159" t="s">
        <v>709</v>
      </c>
      <c r="B96" s="156" t="s">
        <v>767</v>
      </c>
    </row>
    <row r="97" spans="1:8" ht="19">
      <c r="A97" s="159" t="s">
        <v>710</v>
      </c>
      <c r="B97" s="156" t="s">
        <v>768</v>
      </c>
    </row>
    <row r="98" spans="1:8" ht="19">
      <c r="A98" s="159" t="s">
        <v>711</v>
      </c>
      <c r="B98" s="156" t="s">
        <v>769</v>
      </c>
    </row>
    <row r="99" spans="1:8" ht="19">
      <c r="A99" s="159" t="s">
        <v>712</v>
      </c>
      <c r="B99" s="156" t="s">
        <v>770</v>
      </c>
    </row>
    <row r="100" spans="1:8" ht="19">
      <c r="A100" s="159" t="s">
        <v>713</v>
      </c>
      <c r="B100" s="156" t="s">
        <v>771</v>
      </c>
    </row>
    <row r="101" spans="1:8" ht="19">
      <c r="A101" s="159" t="s">
        <v>714</v>
      </c>
      <c r="B101" s="156" t="s">
        <v>772</v>
      </c>
    </row>
    <row r="102" spans="1:8" ht="20" thickBot="1">
      <c r="A102" s="160" t="s">
        <v>715</v>
      </c>
      <c r="B102" s="207">
        <v>45397</v>
      </c>
    </row>
    <row r="104" spans="1:8" ht="19">
      <c r="A104" s="208" t="s">
        <v>716</v>
      </c>
      <c r="B104" s="209"/>
      <c r="C104" s="209"/>
      <c r="D104" s="209"/>
      <c r="E104" s="209"/>
      <c r="F104" s="209"/>
      <c r="G104" s="209"/>
      <c r="H104" s="209"/>
    </row>
    <row r="105" spans="1:8" ht="19">
      <c r="A105" s="208" t="s">
        <v>717</v>
      </c>
      <c r="B105" s="209"/>
      <c r="C105" s="209"/>
      <c r="D105" s="209"/>
      <c r="E105" s="209"/>
      <c r="F105" s="209"/>
      <c r="G105" s="209"/>
      <c r="H105" s="209"/>
    </row>
    <row r="107" spans="1:8" ht="19">
      <c r="A107" s="210" t="s">
        <v>718</v>
      </c>
      <c r="B107" s="209"/>
      <c r="C107" s="209"/>
      <c r="D107" s="209"/>
      <c r="E107" s="209"/>
    </row>
    <row r="108" spans="1:8" ht="19">
      <c r="A108" s="210" t="s">
        <v>719</v>
      </c>
      <c r="B108" s="209"/>
      <c r="C108" s="209"/>
      <c r="D108" s="209"/>
      <c r="E108" s="209"/>
    </row>
    <row r="110" spans="1:8">
      <c r="A110" t="s">
        <v>775</v>
      </c>
    </row>
  </sheetData>
  <mergeCells count="8">
    <mergeCell ref="A53:E53"/>
    <mergeCell ref="A67:B67"/>
    <mergeCell ref="A21:B21"/>
    <mergeCell ref="A36:B36"/>
    <mergeCell ref="A46:B46"/>
    <mergeCell ref="A47:B47"/>
    <mergeCell ref="A48:B48"/>
    <mergeCell ref="A45:B45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DATA_DICTIONARY</vt:lpstr>
      <vt:lpstr>CUSTOMER_PROFILES</vt:lpstr>
      <vt:lpstr>TRANSACTION_LEDGER</vt:lpstr>
      <vt:lpstr>ALERT_INVESTIGATION_LOG</vt:lpstr>
      <vt:lpstr>KYC_CDD_FRAMEWORK</vt:lpstr>
      <vt:lpstr>TM_RULES_SUMMARY</vt:lpstr>
      <vt:lpstr>SAR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Sojan</dc:creator>
  <cp:lastModifiedBy>Pallavi Sojan</cp:lastModifiedBy>
  <dcterms:created xsi:type="dcterms:W3CDTF">2026-06-19T12:51:40Z</dcterms:created>
  <dcterms:modified xsi:type="dcterms:W3CDTF">2026-07-05T19:54:56Z</dcterms:modified>
</cp:coreProperties>
</file>